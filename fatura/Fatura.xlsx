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nus\Desktop\"/>
    </mc:Choice>
  </mc:AlternateContent>
  <xr:revisionPtr revIDLastSave="0" documentId="13_ncr:1_{F294C1D4-B4EC-4BC3-B490-AAC3E1E4454C}" xr6:coauthVersionLast="47" xr6:coauthVersionMax="47" xr10:uidLastSave="{00000000-0000-0000-0000-000000000000}"/>
  <bookViews>
    <workbookView xWindow="-110" yWindow="-110" windowWidth="21820" windowHeight="13900" xr2:uid="{34AB332F-2CB0-4F4A-A24B-7AE2F3B8ABD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6" i="1" l="1"/>
  <c r="I9" i="1"/>
  <c r="I10" i="1"/>
  <c r="I11" i="1"/>
  <c r="I12" i="1"/>
  <c r="I13" i="1"/>
  <c r="I16" i="1"/>
  <c r="I17" i="1"/>
  <c r="I20" i="1"/>
  <c r="I21" i="1"/>
  <c r="I22" i="1"/>
  <c r="I23" i="1"/>
  <c r="I24" i="1"/>
  <c r="I25" i="1"/>
  <c r="I28" i="1"/>
  <c r="I29" i="1"/>
  <c r="I32" i="1"/>
  <c r="I33" i="1"/>
  <c r="I34" i="1"/>
  <c r="I35" i="1"/>
  <c r="I36" i="1"/>
  <c r="I37" i="1"/>
  <c r="I40" i="1"/>
  <c r="I41" i="1"/>
  <c r="I44" i="1"/>
  <c r="I45" i="1"/>
  <c r="I46" i="1"/>
  <c r="I47" i="1"/>
  <c r="I48" i="1"/>
  <c r="I49" i="1"/>
  <c r="I52" i="1"/>
  <c r="I53" i="1"/>
  <c r="I56" i="1"/>
  <c r="I57" i="1"/>
  <c r="I58" i="1"/>
  <c r="I59" i="1"/>
  <c r="I60" i="1"/>
  <c r="I61" i="1"/>
  <c r="I64" i="1"/>
  <c r="I65" i="1"/>
  <c r="I68" i="1"/>
  <c r="I69" i="1"/>
  <c r="I70" i="1"/>
  <c r="I71" i="1"/>
  <c r="I72" i="1"/>
  <c r="I73" i="1"/>
  <c r="I76" i="1"/>
  <c r="I77" i="1"/>
  <c r="I80" i="1"/>
  <c r="I81" i="1"/>
  <c r="I82" i="1"/>
  <c r="I83" i="1"/>
  <c r="I84" i="1"/>
  <c r="I85" i="1"/>
  <c r="I88" i="1"/>
  <c r="I89" i="1"/>
  <c r="I92" i="1"/>
  <c r="I93" i="1"/>
  <c r="I94" i="1"/>
  <c r="I95" i="1"/>
  <c r="I96" i="1"/>
  <c r="I97" i="1"/>
  <c r="I100" i="1"/>
  <c r="I101" i="1"/>
  <c r="I104" i="1"/>
  <c r="I105" i="1"/>
  <c r="I106" i="1"/>
  <c r="I107" i="1"/>
  <c r="I108" i="1"/>
  <c r="I109" i="1"/>
  <c r="I112" i="1"/>
  <c r="I113" i="1"/>
  <c r="I116" i="1"/>
  <c r="I117" i="1"/>
  <c r="I118" i="1"/>
  <c r="I119" i="1"/>
  <c r="I120" i="1"/>
  <c r="I121" i="1"/>
  <c r="I124" i="1"/>
  <c r="I125" i="1"/>
  <c r="I128" i="1"/>
  <c r="I129" i="1"/>
  <c r="I130" i="1"/>
  <c r="I131" i="1"/>
  <c r="I132" i="1"/>
  <c r="I133" i="1"/>
  <c r="I160" i="1"/>
  <c r="I161" i="1"/>
  <c r="I162" i="1"/>
  <c r="I163" i="1"/>
  <c r="I164" i="1"/>
  <c r="I165" i="1"/>
  <c r="I166" i="1"/>
  <c r="I187" i="1"/>
  <c r="I195" i="1"/>
  <c r="I235" i="1"/>
  <c r="I243" i="1"/>
  <c r="I322" i="1"/>
  <c r="I323" i="1"/>
  <c r="I324" i="1"/>
  <c r="I427" i="1"/>
  <c r="I457" i="1"/>
  <c r="I458" i="1"/>
  <c r="I459" i="1"/>
  <c r="I460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3" i="1"/>
  <c r="H456" i="1"/>
  <c r="H457" i="1"/>
  <c r="H458" i="1"/>
  <c r="H459" i="1"/>
  <c r="H460" i="1"/>
  <c r="H461" i="1"/>
  <c r="H462" i="1"/>
  <c r="E9" i="1"/>
  <c r="E10" i="1"/>
  <c r="E11" i="1"/>
  <c r="E12" i="1"/>
  <c r="E13" i="1"/>
  <c r="E14" i="1"/>
  <c r="I14" i="1" s="1"/>
  <c r="E15" i="1"/>
  <c r="I15" i="1" s="1"/>
  <c r="E16" i="1"/>
  <c r="E17" i="1"/>
  <c r="E18" i="1"/>
  <c r="I18" i="1" s="1"/>
  <c r="E19" i="1"/>
  <c r="I19" i="1" s="1"/>
  <c r="E20" i="1"/>
  <c r="E21" i="1"/>
  <c r="E22" i="1"/>
  <c r="E23" i="1"/>
  <c r="E24" i="1"/>
  <c r="E25" i="1"/>
  <c r="E26" i="1"/>
  <c r="I26" i="1" s="1"/>
  <c r="E27" i="1"/>
  <c r="I27" i="1" s="1"/>
  <c r="E28" i="1"/>
  <c r="E29" i="1"/>
  <c r="E30" i="1"/>
  <c r="I30" i="1" s="1"/>
  <c r="E31" i="1"/>
  <c r="I31" i="1" s="1"/>
  <c r="E32" i="1"/>
  <c r="E33" i="1"/>
  <c r="E34" i="1"/>
  <c r="E35" i="1"/>
  <c r="E36" i="1"/>
  <c r="E37" i="1"/>
  <c r="E38" i="1"/>
  <c r="I38" i="1" s="1"/>
  <c r="E39" i="1"/>
  <c r="I39" i="1" s="1"/>
  <c r="E40" i="1"/>
  <c r="E41" i="1"/>
  <c r="E42" i="1"/>
  <c r="I42" i="1" s="1"/>
  <c r="E43" i="1"/>
  <c r="I43" i="1" s="1"/>
  <c r="E44" i="1"/>
  <c r="E45" i="1"/>
  <c r="E46" i="1"/>
  <c r="E47" i="1"/>
  <c r="E48" i="1"/>
  <c r="E49" i="1"/>
  <c r="E50" i="1"/>
  <c r="I50" i="1" s="1"/>
  <c r="E51" i="1"/>
  <c r="I51" i="1" s="1"/>
  <c r="E52" i="1"/>
  <c r="E53" i="1"/>
  <c r="E54" i="1"/>
  <c r="I54" i="1" s="1"/>
  <c r="E55" i="1"/>
  <c r="I55" i="1" s="1"/>
  <c r="E56" i="1"/>
  <c r="E57" i="1"/>
  <c r="E58" i="1"/>
  <c r="E59" i="1"/>
  <c r="E60" i="1"/>
  <c r="E61" i="1"/>
  <c r="E62" i="1"/>
  <c r="I62" i="1" s="1"/>
  <c r="E63" i="1"/>
  <c r="I63" i="1" s="1"/>
  <c r="E64" i="1"/>
  <c r="E65" i="1"/>
  <c r="E66" i="1"/>
  <c r="I66" i="1" s="1"/>
  <c r="E67" i="1"/>
  <c r="I67" i="1" s="1"/>
  <c r="E68" i="1"/>
  <c r="E69" i="1"/>
  <c r="E70" i="1"/>
  <c r="E71" i="1"/>
  <c r="E72" i="1"/>
  <c r="E73" i="1"/>
  <c r="E74" i="1"/>
  <c r="I74" i="1" s="1"/>
  <c r="E75" i="1"/>
  <c r="I75" i="1" s="1"/>
  <c r="E76" i="1"/>
  <c r="E77" i="1"/>
  <c r="E78" i="1"/>
  <c r="I78" i="1" s="1"/>
  <c r="E79" i="1"/>
  <c r="I79" i="1" s="1"/>
  <c r="E80" i="1"/>
  <c r="E81" i="1"/>
  <c r="E82" i="1"/>
  <c r="E83" i="1"/>
  <c r="E84" i="1"/>
  <c r="E85" i="1"/>
  <c r="E86" i="1"/>
  <c r="I86" i="1" s="1"/>
  <c r="E87" i="1"/>
  <c r="I87" i="1" s="1"/>
  <c r="E88" i="1"/>
  <c r="E89" i="1"/>
  <c r="E90" i="1"/>
  <c r="I90" i="1" s="1"/>
  <c r="E91" i="1"/>
  <c r="I91" i="1" s="1"/>
  <c r="E92" i="1"/>
  <c r="E93" i="1"/>
  <c r="E94" i="1"/>
  <c r="E95" i="1"/>
  <c r="E96" i="1"/>
  <c r="E97" i="1"/>
  <c r="E98" i="1"/>
  <c r="I98" i="1" s="1"/>
  <c r="E99" i="1"/>
  <c r="I99" i="1" s="1"/>
  <c r="E100" i="1"/>
  <c r="E101" i="1"/>
  <c r="E102" i="1"/>
  <c r="I102" i="1" s="1"/>
  <c r="E103" i="1"/>
  <c r="I103" i="1" s="1"/>
  <c r="E104" i="1"/>
  <c r="E105" i="1"/>
  <c r="E106" i="1"/>
  <c r="E107" i="1"/>
  <c r="E108" i="1"/>
  <c r="E109" i="1"/>
  <c r="E110" i="1"/>
  <c r="I110" i="1" s="1"/>
  <c r="E111" i="1"/>
  <c r="I111" i="1" s="1"/>
  <c r="E112" i="1"/>
  <c r="E113" i="1"/>
  <c r="E114" i="1"/>
  <c r="I114" i="1" s="1"/>
  <c r="E115" i="1"/>
  <c r="I115" i="1" s="1"/>
  <c r="E116" i="1"/>
  <c r="E117" i="1"/>
  <c r="E118" i="1"/>
  <c r="E119" i="1"/>
  <c r="E120" i="1"/>
  <c r="E121" i="1"/>
  <c r="E122" i="1"/>
  <c r="I122" i="1" s="1"/>
  <c r="E123" i="1"/>
  <c r="I123" i="1" s="1"/>
  <c r="E124" i="1"/>
  <c r="E125" i="1"/>
  <c r="E126" i="1"/>
  <c r="I126" i="1" s="1"/>
  <c r="E127" i="1"/>
  <c r="I127" i="1" s="1"/>
  <c r="E128" i="1"/>
  <c r="E129" i="1"/>
  <c r="E130" i="1"/>
  <c r="E131" i="1"/>
  <c r="E132" i="1"/>
  <c r="E133" i="1"/>
  <c r="E134" i="1"/>
  <c r="I134" i="1" s="1"/>
  <c r="E135" i="1"/>
  <c r="I135" i="1" s="1"/>
  <c r="E136" i="1"/>
  <c r="I136" i="1" s="1"/>
  <c r="E137" i="1"/>
  <c r="I137" i="1" s="1"/>
  <c r="E138" i="1"/>
  <c r="I138" i="1" s="1"/>
  <c r="E139" i="1"/>
  <c r="I139" i="1" s="1"/>
  <c r="E140" i="1"/>
  <c r="I140" i="1" s="1"/>
  <c r="E141" i="1"/>
  <c r="I141" i="1" s="1"/>
  <c r="E142" i="1"/>
  <c r="I142" i="1" s="1"/>
  <c r="E143" i="1"/>
  <c r="I143" i="1" s="1"/>
  <c r="E144" i="1"/>
  <c r="I144" i="1" s="1"/>
  <c r="E145" i="1"/>
  <c r="I145" i="1" s="1"/>
  <c r="E146" i="1"/>
  <c r="I146" i="1" s="1"/>
  <c r="E147" i="1"/>
  <c r="I147" i="1" s="1"/>
  <c r="E148" i="1"/>
  <c r="I148" i="1" s="1"/>
  <c r="E149" i="1"/>
  <c r="I149" i="1" s="1"/>
  <c r="E150" i="1"/>
  <c r="I150" i="1" s="1"/>
  <c r="E151" i="1"/>
  <c r="I151" i="1" s="1"/>
  <c r="E152" i="1"/>
  <c r="I152" i="1" s="1"/>
  <c r="E153" i="1"/>
  <c r="I153" i="1" s="1"/>
  <c r="E154" i="1"/>
  <c r="I154" i="1" s="1"/>
  <c r="E155" i="1"/>
  <c r="I155" i="1" s="1"/>
  <c r="E156" i="1"/>
  <c r="I156" i="1" s="1"/>
  <c r="E157" i="1"/>
  <c r="I157" i="1" s="1"/>
  <c r="E158" i="1"/>
  <c r="I158" i="1" s="1"/>
  <c r="E159" i="1"/>
  <c r="I159" i="1" s="1"/>
  <c r="E160" i="1"/>
  <c r="E161" i="1"/>
  <c r="E162" i="1"/>
  <c r="E163" i="1"/>
  <c r="E164" i="1"/>
  <c r="E165" i="1"/>
  <c r="E166" i="1"/>
  <c r="E167" i="1"/>
  <c r="I167" i="1" s="1"/>
  <c r="E179" i="1"/>
  <c r="I179" i="1" s="1"/>
  <c r="E180" i="1"/>
  <c r="I180" i="1" s="1"/>
  <c r="E181" i="1"/>
  <c r="I181" i="1" s="1"/>
  <c r="E182" i="1"/>
  <c r="I182" i="1" s="1"/>
  <c r="E183" i="1"/>
  <c r="I183" i="1" s="1"/>
  <c r="E184" i="1"/>
  <c r="I184" i="1" s="1"/>
  <c r="E185" i="1"/>
  <c r="I185" i="1" s="1"/>
  <c r="E186" i="1"/>
  <c r="I186" i="1" s="1"/>
  <c r="E187" i="1"/>
  <c r="E188" i="1"/>
  <c r="I188" i="1" s="1"/>
  <c r="E189" i="1"/>
  <c r="I189" i="1" s="1"/>
  <c r="E190" i="1"/>
  <c r="I190" i="1" s="1"/>
  <c r="E191" i="1"/>
  <c r="I191" i="1" s="1"/>
  <c r="E192" i="1"/>
  <c r="I192" i="1" s="1"/>
  <c r="E193" i="1"/>
  <c r="I193" i="1" s="1"/>
  <c r="E194" i="1"/>
  <c r="I194" i="1" s="1"/>
  <c r="E195" i="1"/>
  <c r="E196" i="1"/>
  <c r="I196" i="1" s="1"/>
  <c r="E197" i="1"/>
  <c r="I197" i="1" s="1"/>
  <c r="E198" i="1"/>
  <c r="I198" i="1" s="1"/>
  <c r="E199" i="1"/>
  <c r="I199" i="1" s="1"/>
  <c r="E200" i="1"/>
  <c r="I200" i="1" s="1"/>
  <c r="E201" i="1"/>
  <c r="I201" i="1" s="1"/>
  <c r="E202" i="1"/>
  <c r="I202" i="1" s="1"/>
  <c r="E203" i="1"/>
  <c r="I203" i="1" s="1"/>
  <c r="E204" i="1"/>
  <c r="I204" i="1" s="1"/>
  <c r="E205" i="1"/>
  <c r="I205" i="1" s="1"/>
  <c r="E206" i="1"/>
  <c r="I206" i="1" s="1"/>
  <c r="E207" i="1"/>
  <c r="I207" i="1" s="1"/>
  <c r="E208" i="1"/>
  <c r="I208" i="1" s="1"/>
  <c r="E209" i="1"/>
  <c r="I209" i="1" s="1"/>
  <c r="E210" i="1"/>
  <c r="I210" i="1" s="1"/>
  <c r="E211" i="1"/>
  <c r="I211" i="1" s="1"/>
  <c r="E212" i="1"/>
  <c r="I212" i="1" s="1"/>
  <c r="E213" i="1"/>
  <c r="I213" i="1" s="1"/>
  <c r="E214" i="1"/>
  <c r="I214" i="1" s="1"/>
  <c r="E215" i="1"/>
  <c r="I215" i="1" s="1"/>
  <c r="E216" i="1"/>
  <c r="I216" i="1" s="1"/>
  <c r="E217" i="1"/>
  <c r="I217" i="1" s="1"/>
  <c r="E218" i="1"/>
  <c r="I218" i="1" s="1"/>
  <c r="E219" i="1"/>
  <c r="I219" i="1" s="1"/>
  <c r="E220" i="1"/>
  <c r="I220" i="1" s="1"/>
  <c r="E221" i="1"/>
  <c r="I221" i="1" s="1"/>
  <c r="E222" i="1"/>
  <c r="I222" i="1" s="1"/>
  <c r="E223" i="1"/>
  <c r="I223" i="1" s="1"/>
  <c r="E224" i="1"/>
  <c r="I224" i="1" s="1"/>
  <c r="E225" i="1"/>
  <c r="I225" i="1" s="1"/>
  <c r="E226" i="1"/>
  <c r="I226" i="1" s="1"/>
  <c r="E227" i="1"/>
  <c r="I227" i="1" s="1"/>
  <c r="E228" i="1"/>
  <c r="I228" i="1" s="1"/>
  <c r="E229" i="1"/>
  <c r="I229" i="1" s="1"/>
  <c r="E230" i="1"/>
  <c r="I230" i="1" s="1"/>
  <c r="E231" i="1"/>
  <c r="I231" i="1" s="1"/>
  <c r="E232" i="1"/>
  <c r="I232" i="1" s="1"/>
  <c r="E233" i="1"/>
  <c r="I233" i="1" s="1"/>
  <c r="E234" i="1"/>
  <c r="I234" i="1" s="1"/>
  <c r="E235" i="1"/>
  <c r="E236" i="1"/>
  <c r="I236" i="1" s="1"/>
  <c r="E237" i="1"/>
  <c r="I237" i="1" s="1"/>
  <c r="E238" i="1"/>
  <c r="I238" i="1" s="1"/>
  <c r="E239" i="1"/>
  <c r="I239" i="1" s="1"/>
  <c r="E240" i="1"/>
  <c r="I240" i="1" s="1"/>
  <c r="E241" i="1"/>
  <c r="I241" i="1" s="1"/>
  <c r="E242" i="1"/>
  <c r="I242" i="1" s="1"/>
  <c r="E243" i="1"/>
  <c r="E244" i="1"/>
  <c r="I244" i="1" s="1"/>
  <c r="E245" i="1"/>
  <c r="I245" i="1" s="1"/>
  <c r="E246" i="1"/>
  <c r="I246" i="1" s="1"/>
  <c r="E247" i="1"/>
  <c r="I247" i="1" s="1"/>
  <c r="E248" i="1"/>
  <c r="I248" i="1" s="1"/>
  <c r="E249" i="1"/>
  <c r="I249" i="1" s="1"/>
  <c r="E250" i="1"/>
  <c r="I250" i="1" s="1"/>
  <c r="E251" i="1"/>
  <c r="I251" i="1" s="1"/>
  <c r="E252" i="1"/>
  <c r="I252" i="1" s="1"/>
  <c r="E253" i="1"/>
  <c r="I253" i="1" s="1"/>
  <c r="E257" i="1"/>
  <c r="I257" i="1" s="1"/>
  <c r="E258" i="1"/>
  <c r="I258" i="1" s="1"/>
  <c r="E259" i="1"/>
  <c r="I259" i="1" s="1"/>
  <c r="E260" i="1"/>
  <c r="I260" i="1" s="1"/>
  <c r="E261" i="1"/>
  <c r="I261" i="1" s="1"/>
  <c r="E262" i="1"/>
  <c r="I262" i="1" s="1"/>
  <c r="E263" i="1"/>
  <c r="I263" i="1" s="1"/>
  <c r="E264" i="1"/>
  <c r="I264" i="1" s="1"/>
  <c r="E265" i="1"/>
  <c r="I265" i="1" s="1"/>
  <c r="E266" i="1"/>
  <c r="I266" i="1" s="1"/>
  <c r="E267" i="1"/>
  <c r="I267" i="1" s="1"/>
  <c r="E268" i="1"/>
  <c r="I268" i="1" s="1"/>
  <c r="E269" i="1"/>
  <c r="I269" i="1" s="1"/>
  <c r="E270" i="1"/>
  <c r="I270" i="1" s="1"/>
  <c r="E271" i="1"/>
  <c r="I271" i="1" s="1"/>
  <c r="E272" i="1"/>
  <c r="I272" i="1" s="1"/>
  <c r="E273" i="1"/>
  <c r="I273" i="1" s="1"/>
  <c r="E274" i="1"/>
  <c r="I274" i="1" s="1"/>
  <c r="E275" i="1"/>
  <c r="I275" i="1" s="1"/>
  <c r="E276" i="1"/>
  <c r="I276" i="1" s="1"/>
  <c r="E277" i="1"/>
  <c r="I277" i="1" s="1"/>
  <c r="E278" i="1"/>
  <c r="I278" i="1" s="1"/>
  <c r="E279" i="1"/>
  <c r="I279" i="1" s="1"/>
  <c r="E280" i="1"/>
  <c r="I280" i="1" s="1"/>
  <c r="E281" i="1"/>
  <c r="I281" i="1" s="1"/>
  <c r="E282" i="1"/>
  <c r="I282" i="1" s="1"/>
  <c r="E283" i="1"/>
  <c r="I283" i="1" s="1"/>
  <c r="E284" i="1"/>
  <c r="I284" i="1" s="1"/>
  <c r="E285" i="1"/>
  <c r="I285" i="1" s="1"/>
  <c r="E286" i="1"/>
  <c r="I286" i="1" s="1"/>
  <c r="E287" i="1"/>
  <c r="I287" i="1" s="1"/>
  <c r="E288" i="1"/>
  <c r="I288" i="1" s="1"/>
  <c r="E289" i="1"/>
  <c r="I289" i="1" s="1"/>
  <c r="E290" i="1"/>
  <c r="I290" i="1" s="1"/>
  <c r="E291" i="1"/>
  <c r="I291" i="1" s="1"/>
  <c r="E292" i="1"/>
  <c r="I292" i="1" s="1"/>
  <c r="E293" i="1"/>
  <c r="I293" i="1" s="1"/>
  <c r="E294" i="1"/>
  <c r="I294" i="1" s="1"/>
  <c r="E295" i="1"/>
  <c r="I295" i="1" s="1"/>
  <c r="E296" i="1"/>
  <c r="I296" i="1" s="1"/>
  <c r="E297" i="1"/>
  <c r="I297" i="1" s="1"/>
  <c r="E298" i="1"/>
  <c r="I298" i="1" s="1"/>
  <c r="E299" i="1"/>
  <c r="I299" i="1" s="1"/>
  <c r="E300" i="1"/>
  <c r="I300" i="1" s="1"/>
  <c r="E301" i="1"/>
  <c r="I301" i="1" s="1"/>
  <c r="E302" i="1"/>
  <c r="I302" i="1" s="1"/>
  <c r="E303" i="1"/>
  <c r="I303" i="1" s="1"/>
  <c r="E304" i="1"/>
  <c r="I304" i="1" s="1"/>
  <c r="E305" i="1"/>
  <c r="I305" i="1" s="1"/>
  <c r="E306" i="1"/>
  <c r="I306" i="1" s="1"/>
  <c r="E307" i="1"/>
  <c r="I307" i="1" s="1"/>
  <c r="E308" i="1"/>
  <c r="I308" i="1" s="1"/>
  <c r="E309" i="1"/>
  <c r="I309" i="1" s="1"/>
  <c r="E310" i="1"/>
  <c r="I310" i="1" s="1"/>
  <c r="E311" i="1"/>
  <c r="I311" i="1" s="1"/>
  <c r="E312" i="1"/>
  <c r="I312" i="1" s="1"/>
  <c r="E313" i="1"/>
  <c r="I313" i="1" s="1"/>
  <c r="E314" i="1"/>
  <c r="I314" i="1" s="1"/>
  <c r="E315" i="1"/>
  <c r="I315" i="1" s="1"/>
  <c r="E316" i="1"/>
  <c r="I316" i="1" s="1"/>
  <c r="E317" i="1"/>
  <c r="I317" i="1" s="1"/>
  <c r="E318" i="1"/>
  <c r="I318" i="1" s="1"/>
  <c r="E319" i="1"/>
  <c r="I319" i="1" s="1"/>
  <c r="E320" i="1"/>
  <c r="I320" i="1" s="1"/>
  <c r="E321" i="1"/>
  <c r="I321" i="1" s="1"/>
  <c r="E322" i="1"/>
  <c r="E323" i="1"/>
  <c r="E324" i="1"/>
  <c r="E325" i="1"/>
  <c r="I325" i="1" s="1"/>
  <c r="E326" i="1"/>
  <c r="I326" i="1" s="1"/>
  <c r="E327" i="1"/>
  <c r="I327" i="1" s="1"/>
  <c r="E328" i="1"/>
  <c r="I328" i="1" s="1"/>
  <c r="E329" i="1"/>
  <c r="I329" i="1" s="1"/>
  <c r="E330" i="1"/>
  <c r="I330" i="1" s="1"/>
  <c r="E331" i="1"/>
  <c r="I331" i="1" s="1"/>
  <c r="E332" i="1"/>
  <c r="I332" i="1" s="1"/>
  <c r="E333" i="1"/>
  <c r="I333" i="1" s="1"/>
  <c r="E334" i="1"/>
  <c r="I334" i="1" s="1"/>
  <c r="E335" i="1"/>
  <c r="I335" i="1" s="1"/>
  <c r="E336" i="1"/>
  <c r="I336" i="1" s="1"/>
  <c r="E337" i="1"/>
  <c r="I337" i="1" s="1"/>
  <c r="E338" i="1"/>
  <c r="I338" i="1" s="1"/>
  <c r="E339" i="1"/>
  <c r="I339" i="1" s="1"/>
  <c r="E340" i="1"/>
  <c r="I340" i="1" s="1"/>
  <c r="E341" i="1"/>
  <c r="I341" i="1" s="1"/>
  <c r="E342" i="1"/>
  <c r="I342" i="1" s="1"/>
  <c r="E343" i="1"/>
  <c r="I343" i="1" s="1"/>
  <c r="E344" i="1"/>
  <c r="I344" i="1" s="1"/>
  <c r="E345" i="1"/>
  <c r="I345" i="1" s="1"/>
  <c r="E346" i="1"/>
  <c r="I346" i="1" s="1"/>
  <c r="E347" i="1"/>
  <c r="I347" i="1" s="1"/>
  <c r="E348" i="1"/>
  <c r="I348" i="1" s="1"/>
  <c r="E349" i="1"/>
  <c r="I349" i="1" s="1"/>
  <c r="E350" i="1"/>
  <c r="I350" i="1" s="1"/>
  <c r="E351" i="1"/>
  <c r="I351" i="1" s="1"/>
  <c r="E352" i="1"/>
  <c r="I352" i="1" s="1"/>
  <c r="E353" i="1"/>
  <c r="I353" i="1" s="1"/>
  <c r="E354" i="1"/>
  <c r="I354" i="1" s="1"/>
  <c r="E355" i="1"/>
  <c r="I355" i="1" s="1"/>
  <c r="E356" i="1"/>
  <c r="I356" i="1" s="1"/>
  <c r="E357" i="1"/>
  <c r="I357" i="1" s="1"/>
  <c r="E358" i="1"/>
  <c r="I358" i="1" s="1"/>
  <c r="E359" i="1"/>
  <c r="I359" i="1" s="1"/>
  <c r="E360" i="1"/>
  <c r="I360" i="1" s="1"/>
  <c r="E361" i="1"/>
  <c r="I361" i="1" s="1"/>
  <c r="E362" i="1"/>
  <c r="I362" i="1" s="1"/>
  <c r="E363" i="1"/>
  <c r="I363" i="1" s="1"/>
  <c r="E364" i="1"/>
  <c r="I364" i="1" s="1"/>
  <c r="E365" i="1"/>
  <c r="I365" i="1" s="1"/>
  <c r="E366" i="1"/>
  <c r="I366" i="1" s="1"/>
  <c r="E367" i="1"/>
  <c r="I367" i="1" s="1"/>
  <c r="E368" i="1"/>
  <c r="I368" i="1" s="1"/>
  <c r="E369" i="1"/>
  <c r="I369" i="1" s="1"/>
  <c r="E370" i="1"/>
  <c r="I370" i="1" s="1"/>
  <c r="E371" i="1"/>
  <c r="I371" i="1" s="1"/>
  <c r="E372" i="1"/>
  <c r="I372" i="1" s="1"/>
  <c r="E373" i="1"/>
  <c r="I373" i="1" s="1"/>
  <c r="E374" i="1"/>
  <c r="I374" i="1" s="1"/>
  <c r="E375" i="1"/>
  <c r="I375" i="1" s="1"/>
  <c r="E376" i="1"/>
  <c r="I376" i="1" s="1"/>
  <c r="E377" i="1"/>
  <c r="I377" i="1" s="1"/>
  <c r="E378" i="1"/>
  <c r="I378" i="1" s="1"/>
  <c r="E379" i="1"/>
  <c r="I379" i="1" s="1"/>
  <c r="E380" i="1"/>
  <c r="I380" i="1" s="1"/>
  <c r="E381" i="1"/>
  <c r="I381" i="1" s="1"/>
  <c r="E382" i="1"/>
  <c r="I382" i="1" s="1"/>
  <c r="E383" i="1"/>
  <c r="I383" i="1" s="1"/>
  <c r="E384" i="1"/>
  <c r="I384" i="1" s="1"/>
  <c r="E385" i="1"/>
  <c r="I385" i="1" s="1"/>
  <c r="E386" i="1"/>
  <c r="I386" i="1" s="1"/>
  <c r="E387" i="1"/>
  <c r="I387" i="1" s="1"/>
  <c r="E388" i="1"/>
  <c r="I388" i="1" s="1"/>
  <c r="E389" i="1"/>
  <c r="I389" i="1" s="1"/>
  <c r="E390" i="1"/>
  <c r="I390" i="1" s="1"/>
  <c r="E391" i="1"/>
  <c r="I391" i="1" s="1"/>
  <c r="E392" i="1"/>
  <c r="I392" i="1" s="1"/>
  <c r="E393" i="1"/>
  <c r="I393" i="1" s="1"/>
  <c r="E394" i="1"/>
  <c r="I394" i="1" s="1"/>
  <c r="E395" i="1"/>
  <c r="I395" i="1" s="1"/>
  <c r="E396" i="1"/>
  <c r="I396" i="1" s="1"/>
  <c r="E397" i="1"/>
  <c r="I397" i="1" s="1"/>
  <c r="E398" i="1"/>
  <c r="I398" i="1" s="1"/>
  <c r="E399" i="1"/>
  <c r="I399" i="1" s="1"/>
  <c r="E400" i="1"/>
  <c r="I400" i="1" s="1"/>
  <c r="E401" i="1"/>
  <c r="I401" i="1" s="1"/>
  <c r="E402" i="1"/>
  <c r="I402" i="1" s="1"/>
  <c r="E403" i="1"/>
  <c r="I403" i="1" s="1"/>
  <c r="E404" i="1"/>
  <c r="I404" i="1" s="1"/>
  <c r="E405" i="1"/>
  <c r="I405" i="1" s="1"/>
  <c r="I406" i="1"/>
  <c r="E407" i="1"/>
  <c r="I407" i="1" s="1"/>
  <c r="E408" i="1"/>
  <c r="I408" i="1" s="1"/>
  <c r="E409" i="1"/>
  <c r="I409" i="1" s="1"/>
  <c r="E410" i="1"/>
  <c r="I410" i="1" s="1"/>
  <c r="E411" i="1"/>
  <c r="I411" i="1" s="1"/>
  <c r="E412" i="1"/>
  <c r="I412" i="1" s="1"/>
  <c r="E413" i="1"/>
  <c r="I413" i="1" s="1"/>
  <c r="E414" i="1"/>
  <c r="I414" i="1" s="1"/>
  <c r="E415" i="1"/>
  <c r="I415" i="1" s="1"/>
  <c r="E416" i="1"/>
  <c r="I416" i="1" s="1"/>
  <c r="E417" i="1"/>
  <c r="I417" i="1" s="1"/>
  <c r="E418" i="1"/>
  <c r="I418" i="1" s="1"/>
  <c r="E419" i="1"/>
  <c r="I419" i="1" s="1"/>
  <c r="E420" i="1"/>
  <c r="I420" i="1" s="1"/>
  <c r="E421" i="1"/>
  <c r="I421" i="1" s="1"/>
  <c r="E422" i="1"/>
  <c r="I422" i="1" s="1"/>
  <c r="E423" i="1"/>
  <c r="I423" i="1" s="1"/>
  <c r="E424" i="1"/>
  <c r="I424" i="1" s="1"/>
  <c r="E425" i="1"/>
  <c r="I425" i="1" s="1"/>
  <c r="E426" i="1"/>
  <c r="I426" i="1" s="1"/>
  <c r="E427" i="1"/>
  <c r="E428" i="1"/>
  <c r="I428" i="1" s="1"/>
  <c r="E429" i="1"/>
  <c r="I429" i="1" s="1"/>
  <c r="E430" i="1"/>
  <c r="I430" i="1" s="1"/>
  <c r="E431" i="1"/>
  <c r="I431" i="1" s="1"/>
  <c r="E432" i="1"/>
  <c r="I432" i="1" s="1"/>
  <c r="E433" i="1"/>
  <c r="I433" i="1" s="1"/>
  <c r="E434" i="1"/>
  <c r="I434" i="1" s="1"/>
  <c r="E435" i="1"/>
  <c r="I435" i="1" s="1"/>
  <c r="E436" i="1"/>
  <c r="I436" i="1" s="1"/>
  <c r="E437" i="1"/>
  <c r="I437" i="1" s="1"/>
  <c r="E438" i="1"/>
  <c r="I438" i="1" s="1"/>
  <c r="E439" i="1"/>
  <c r="I439" i="1" s="1"/>
  <c r="E440" i="1"/>
  <c r="I440" i="1" s="1"/>
  <c r="E441" i="1"/>
  <c r="I441" i="1" s="1"/>
  <c r="E442" i="1"/>
  <c r="I442" i="1" s="1"/>
  <c r="E443" i="1"/>
  <c r="I443" i="1" s="1"/>
  <c r="E444" i="1"/>
  <c r="I444" i="1" s="1"/>
  <c r="E445" i="1"/>
  <c r="I445" i="1" s="1"/>
  <c r="E446" i="1"/>
  <c r="I446" i="1" s="1"/>
  <c r="E447" i="1"/>
  <c r="I447" i="1" s="1"/>
  <c r="E448" i="1"/>
  <c r="I448" i="1" s="1"/>
  <c r="E449" i="1"/>
  <c r="I449" i="1" s="1"/>
  <c r="E450" i="1"/>
  <c r="I450" i="1" s="1"/>
  <c r="E451" i="1"/>
  <c r="I451" i="1" s="1"/>
  <c r="E453" i="1"/>
  <c r="I453" i="1" s="1"/>
  <c r="E456" i="1"/>
  <c r="I456" i="1" s="1"/>
  <c r="E457" i="1"/>
  <c r="E458" i="1"/>
  <c r="E459" i="1"/>
  <c r="E460" i="1"/>
  <c r="E461" i="1"/>
  <c r="I461" i="1" s="1"/>
  <c r="E462" i="1"/>
  <c r="I462" i="1" s="1"/>
  <c r="H3" i="1"/>
  <c r="H4" i="1"/>
  <c r="H5" i="1"/>
  <c r="H6" i="1"/>
  <c r="H7" i="1"/>
  <c r="H8" i="1"/>
  <c r="H2" i="1"/>
  <c r="E3" i="1"/>
  <c r="I3" i="1" s="1"/>
  <c r="E4" i="1"/>
  <c r="I4" i="1" s="1"/>
  <c r="E5" i="1"/>
  <c r="I5" i="1" s="1"/>
  <c r="E6" i="1"/>
  <c r="I6" i="1" s="1"/>
  <c r="E7" i="1"/>
  <c r="I7" i="1" s="1"/>
  <c r="E8" i="1"/>
  <c r="I8" i="1" s="1"/>
  <c r="E2" i="1"/>
  <c r="I2" i="1" s="1"/>
</calcChain>
</file>

<file path=xl/sharedStrings.xml><?xml version="1.0" encoding="utf-8"?>
<sst xmlns="http://schemas.openxmlformats.org/spreadsheetml/2006/main" count="1463" uniqueCount="505">
  <si>
    <t>ÜRÜN</t>
  </si>
  <si>
    <t>SIRA</t>
  </si>
  <si>
    <t>MİKTAR</t>
  </si>
  <si>
    <t>BİRİM FİYAT</t>
  </si>
  <si>
    <t>5X4 NYY</t>
  </si>
  <si>
    <t>KOMBİNASYON KUTUSU</t>
  </si>
  <si>
    <t xml:space="preserve">5X32 PANO PRİZİ </t>
  </si>
  <si>
    <t xml:space="preserve">1X16 PANO PRİZ </t>
  </si>
  <si>
    <t xml:space="preserve">3X32 A OTOMAT </t>
  </si>
  <si>
    <t>4X40 30 mA GÜNSAN</t>
  </si>
  <si>
    <t xml:space="preserve">25 A OTOMAT </t>
  </si>
  <si>
    <t>MARKA</t>
  </si>
  <si>
    <t>ÖLÇÜ</t>
  </si>
  <si>
    <t>Metre</t>
  </si>
  <si>
    <t>Adet</t>
  </si>
  <si>
    <t>TARİH</t>
  </si>
  <si>
    <t>AYGÜLLER</t>
  </si>
  <si>
    <t>ŞERİTTEN DEMİRE APARAT</t>
  </si>
  <si>
    <t>3X2,5 KABLO</t>
  </si>
  <si>
    <t>2X1,5 TTR KABLO</t>
  </si>
  <si>
    <t>SIVA ÜSTÜ ANAHTAR</t>
  </si>
  <si>
    <t>16X16 KABLO KANALI</t>
  </si>
  <si>
    <t>25X25 KABLO KANALI</t>
  </si>
  <si>
    <t>4X4 NYM KABLO</t>
  </si>
  <si>
    <t>12 Lİ SIVA ÜSTÜ OTOMAT
KUTUSU</t>
  </si>
  <si>
    <t>20 A OTOMAT</t>
  </si>
  <si>
    <t>4X32 30 MA KAR</t>
  </si>
  <si>
    <t>HAİTİ APLİK GÜNIŞIĞI</t>
  </si>
  <si>
    <t>3X1,5 TTR KABLO</t>
  </si>
  <si>
    <t>40 W BANT ARMATÜR</t>
  </si>
  <si>
    <t>SIVA ÜSTÜ KOMİTATÖR</t>
  </si>
  <si>
    <t>3X32 A OTOMAT</t>
  </si>
  <si>
    <t>85X85 BUAT</t>
  </si>
  <si>
    <t>İKİLİ GRUP PRİZ</t>
  </si>
  <si>
    <t>ELBİ SIVA ÜSTÜ PRİZ</t>
  </si>
  <si>
    <t>3 LÜ GRUP PRİZ</t>
  </si>
  <si>
    <t>AG KABLO EK MUFU ISI BÜZÜŞMELİ ALÜMİNYUM -
3x50+25</t>
  </si>
  <si>
    <t>YMT ELEKTRİK MÜHENDİSLİK</t>
  </si>
  <si>
    <t>HASÇELİK XLPE KABLO 36KV - 1x95/16</t>
  </si>
  <si>
    <t>ERİYEN BANT</t>
  </si>
  <si>
    <t>GENİŞ ERİYEN BANT</t>
  </si>
  <si>
    <t>KABLO BAĞI 8x380 (BEYAZ)</t>
  </si>
  <si>
    <t>Paket</t>
  </si>
  <si>
    <t>KABLO BAĞI 8x450 (BEYAZ)</t>
  </si>
  <si>
    <t>TOPRAKLAMA KLEMENSİ ŞERİT-DEMİR</t>
  </si>
  <si>
    <t>TOPRAKLAMA KLEMENSİ ŞERİT-ŞERİT</t>
  </si>
  <si>
    <t>DÜZ FİŞ TRİFAZE VİDALI 5x16A 3P+N+T (IP67)</t>
  </si>
  <si>
    <t>KOMBİNE PRİZV10 - ON 2 ADET DELİKLİ - YAN 2 ADET DELİKLİ
BOŞ (IP44)</t>
  </si>
  <si>
    <t>KOMBİNE PRİZV10 - 3x25A. 2AD.ON + 1x16A. 2AD.YAN (IP44)</t>
  </si>
  <si>
    <t>ÖZNUR ALÜMİNYUM XLPE KABLO 36KV -1x400/35mm2</t>
  </si>
  <si>
    <t>TOPRAKLAMA GEM TOZU</t>
  </si>
  <si>
    <t>2.50*350 ELEKTROD ESR-13</t>
  </si>
  <si>
    <t xml:space="preserve">ZAFER CIVATA </t>
  </si>
  <si>
    <t>TAKIM ÇANTASI ORGANİZER KÜP 30"
FULL</t>
  </si>
  <si>
    <t>MASA GÖNYESİ 40*40</t>
  </si>
  <si>
    <t>M 8 *75 KLIPSLI DÜBEL</t>
  </si>
  <si>
    <t>MASA GÖNYESİ 15*35</t>
  </si>
  <si>
    <t>SUNTA VIDASI 05 *040</t>
  </si>
  <si>
    <t>5.5*025 ÇATI VIDASI MATKAP UÇLU</t>
  </si>
  <si>
    <t>12 LI IKI AG.YILDIZ ANAHTAR TK.ELTA</t>
  </si>
  <si>
    <t>Set</t>
  </si>
  <si>
    <t>1000 GR TESVİYECİ ÇEKİÇ DESPA</t>
  </si>
  <si>
    <t>500 GR TESVİYECİ ÇEKİÇ DESPA</t>
  </si>
  <si>
    <t>3*125 KLEMENS DÜZ TORNAVIDA IZELTAS</t>
  </si>
  <si>
    <t>4*150 KLEMENS YILDIZ TORNAVIDA IZELTAS</t>
  </si>
  <si>
    <t>2.5*60 KLEMENS DÜZ TORNAVIDA IZELTAS</t>
  </si>
  <si>
    <t>3*60 KLEMENS YILDIZ TORNAVIDA IZELTAS</t>
  </si>
  <si>
    <t>13 MM CIRCIR KOMBINE ANAHTAR IZELTAS</t>
  </si>
  <si>
    <t>10 MM CIRCIR KOMBINE ANAHTAR IZELTAS</t>
  </si>
  <si>
    <t>17 MM CIRCIR KOMBINE ANAHTAR IZELTAS</t>
  </si>
  <si>
    <t>19 MM CIRCIR KOMBINE ANAHTAR IZELTAS</t>
  </si>
  <si>
    <t>1" MANSONLU BORU ANAHTARI 85 IZELTAS</t>
  </si>
  <si>
    <t>KADEMELİ SAÇ DELME 4 - 32 MM
(Titan.Kaplama) PROTER</t>
  </si>
  <si>
    <t>190 MM ELEKTRIK KONTROL KALEMI IZELTAS</t>
  </si>
  <si>
    <t>CETA 18 mm Maket Bıçağı Yedeği - 10'lu Paket</t>
  </si>
  <si>
    <t>MAKET BIÇAĞI ALÜMİNYUM Z.</t>
  </si>
  <si>
    <t>160 MM YAN KESKI KNIPEX</t>
  </si>
  <si>
    <t>180 MM PENSE KOMBINE KNIPEX</t>
  </si>
  <si>
    <t>6x100 ELEKTRİKÇİ İZOLELİ YILDIZ TORNAVİDA
1000 V IZELTAS</t>
  </si>
  <si>
    <t>4,5x80 ELEKTRİKÇİ İZOLELİ YILDIZ TORNAVİDA
1000 V IZELTAS</t>
  </si>
  <si>
    <t>5.5x125 ELEKTRİKÇİ İZOLELİ DÜZ TORNAVİDA
1000 V IZELTAS</t>
  </si>
  <si>
    <t>4x100 ELEKTRİKÇİ İZOLELİ DÜZ TORNAVİDA
1000 V IZELTAS</t>
  </si>
  <si>
    <t>Bosch GWT 2 Alet Çantası</t>
  </si>
  <si>
    <t>CETA Kablo Soyma Aleti (Kanca Bıçaklı-StripX/4-
28 mm)</t>
  </si>
  <si>
    <t>PL 360 LS 3x360 YEŞİL LAZERLİ ŞAKÜL
PROTER</t>
  </si>
  <si>
    <t>PL 15 T TRİPOD / SEHPA ALM.1,5 MT AYARLI
YÜKSEKLİK PROTER</t>
  </si>
  <si>
    <t>MERCURE PAINT MARKER LACİVERT BİLYALI</t>
  </si>
  <si>
    <t>MERCURE PAINT MARKER BEYAZ BİLYALI</t>
  </si>
  <si>
    <t>MERCURE PAINT MARKER SİYAH BİLYALI</t>
  </si>
  <si>
    <t>Bosch SDS-Plus-1 K-Delici Ucu 12*460 mm 1'li</t>
  </si>
  <si>
    <t>Bosch SDS-Plus-1 K-Delici Ucu 8*160 mm 1'li</t>
  </si>
  <si>
    <t>Bosch SDS-Plus-1 K-Delici Ucu 7*160 mm 1'li</t>
  </si>
  <si>
    <t>Bosch SDS-Plus-1 K-Delici Ucu 12*160 mm 1'li</t>
  </si>
  <si>
    <t>Bosch SDS-Plus-1 K-Delici Ucu 10*160 mm 1'li</t>
  </si>
  <si>
    <t>Bosch PRO Pozidriv Impact Uç, PZ2, 150 mm</t>
  </si>
  <si>
    <t>Bosch PRO Phillips Impact Uç, PH2, 150 mm</t>
  </si>
  <si>
    <t>Bosch HSSPointTeQ Metal Matkap Ucu Seti 10'lu</t>
  </si>
  <si>
    <t>ÇELİK ŞERİT METRE MIKNATISLI SERİ 81 5 mt *
25 FISH</t>
  </si>
  <si>
    <t>7 MM LOKMA UÇLU TORNAVIDA IZELTAS</t>
  </si>
  <si>
    <t>10 MM LOKMA UÇLU TORNAVIDA IZELTAS</t>
  </si>
  <si>
    <t>MAKAS PVC 42 MM TOMAX</t>
  </si>
  <si>
    <t>TEKERLEKLİ TAKIM ÇANTASI 3 KATLI FULL</t>
  </si>
  <si>
    <t>Bosch SDInox Rap.Kesme Taşı 115*1,0 mm</t>
  </si>
  <si>
    <t>M 08*040 Ç.CIVATA BEYAZ</t>
  </si>
  <si>
    <t>M 08 SOMUN ÇELIK BEYAZ</t>
  </si>
  <si>
    <t>M 10*040 Ç.CIVATA BEYAZ</t>
  </si>
  <si>
    <t>M 10*060 Ç.CIVATA BEYAZ</t>
  </si>
  <si>
    <t>M 10 SOMUN ÇELIK BEYAZ</t>
  </si>
  <si>
    <t>M 12*040 Ç.CIVATA BEYAZ</t>
  </si>
  <si>
    <t>M 12 SOMUN ÇELIK BEYAZ</t>
  </si>
  <si>
    <t>M 08 DÜZ RONDELA BEYAZ</t>
  </si>
  <si>
    <t>M 10 DÜZ RONDELA BEYAZ</t>
  </si>
  <si>
    <t>M 12 DÜZ RONDELA BEYAZ</t>
  </si>
  <si>
    <t>8 MM TUGLA DÜBELI</t>
  </si>
  <si>
    <t>10 MM TUGLA DÜBELI</t>
  </si>
  <si>
    <t>SUNTA VIDASI 05 *060</t>
  </si>
  <si>
    <t>SUNTA VIDASI 06 *070</t>
  </si>
  <si>
    <t>3.9*019 YHB M.UÇLU VIDA</t>
  </si>
  <si>
    <t>3.9*025 YHB M.UÇLU VIDA</t>
  </si>
  <si>
    <t>EMSAR ELEKTRİK</t>
  </si>
  <si>
    <t>NOVELLA ANAHTAR
MEKANİZMA</t>
  </si>
  <si>
    <t>NOVELLA ANAHTAR
ANTRASİT KAPAK</t>
  </si>
  <si>
    <t>NOVELLA TOPRAKLI PRİZ
MEKANİZMA</t>
  </si>
  <si>
    <t>NOVELLA TOPRAKLI PRİZ
KAPAK</t>
  </si>
  <si>
    <t>NOVELLA KOMİTATÖR
MEKANİZMA</t>
  </si>
  <si>
    <t>NOVELLA KOMİTATÖR
KAPAK</t>
  </si>
  <si>
    <t>NOVELLA VAVİEN
MEKANİZMA</t>
  </si>
  <si>
    <t>NOVELLA VAVİEN KAPAK</t>
  </si>
  <si>
    <t>NOVELLA NÜMERİS
MEKANİZMA</t>
  </si>
  <si>
    <t>NOVELLA NÜMERİS KAPAK</t>
  </si>
  <si>
    <t>NOVELLA TEKLİ ÇERÇEVE</t>
  </si>
  <si>
    <t>NOVELLA 2Lİ ÇERÇEVE</t>
  </si>
  <si>
    <t>NOVELLA 3LÜ ÇERÇEVE</t>
  </si>
  <si>
    <t>NOVELLA 4 LÜ ÇERÇEVE</t>
  </si>
  <si>
    <t>BUAT KAPAĞI</t>
  </si>
  <si>
    <t>T 5170 FÜME KASA KORİDOR
SENSÖRLÜ GÜNIŞIĞI</t>
  </si>
  <si>
    <t>CT 5040 JAGUAR ARMATÜR</t>
  </si>
  <si>
    <t>GU10 DUY</t>
  </si>
  <si>
    <t>7W GU10 DUYLU AMPÜL
4000K</t>
  </si>
  <si>
    <t>24W SÜ. LED PANEL KARE
BEYAZ KASA GÜNIŞIĞI
(4000K)</t>
  </si>
  <si>
    <t>18W SÜ LED PANEL KARE
BEYAZ KASA BEYAZ IŞIK</t>
  </si>
  <si>
    <t>CT 5170 FÜME KASA KORİDOR
SENSÖRLÜ GÜNIŞIĞI</t>
  </si>
  <si>
    <t>CT-9247 BOLOGNA
SENSÖRLÜ</t>
  </si>
  <si>
    <t>KARRE LİGHT</t>
  </si>
  <si>
    <t>KARRE TEKLİ ÇERÇEVE</t>
  </si>
  <si>
    <t>REQASMART ELEKTRONİK</t>
  </si>
  <si>
    <t>BASICR4 Basic R4 Akıllı Röle |
Basic R4</t>
  </si>
  <si>
    <t>KARGO Kargo Ücreti
((HEPSİJET))</t>
  </si>
  <si>
    <t>AKÇELİK ENERJİ</t>
  </si>
  <si>
    <t>4P 40A 30 MA AC TİPİ KAÇAK
AKIM RÖLESİ</t>
  </si>
  <si>
    <t>ANIL TEKNİK</t>
  </si>
  <si>
    <t>JEM-400/55 16-400 mm SKP SIK. 65mm
CU/AL SIKMA PENS.</t>
  </si>
  <si>
    <t>JFE-2638 FASTON ERKEK PAPUC</t>
  </si>
  <si>
    <t>JFD-2638 FASTON DISI PAPUC</t>
  </si>
  <si>
    <t>JKB 200MB (200x2,5mm) SİYAH KABLO
BAGI</t>
  </si>
  <si>
    <t>JYK-3AB (19x19mm) SİYAH YAPISKAN
KROSE</t>
  </si>
  <si>
    <t>10x38A KARTUŞ SİGORTA YUVASI</t>
  </si>
  <si>
    <t>10x38 16A PORSOLEN SİGORTA</t>
  </si>
  <si>
    <t>10x38 32A PORSOLEN SİGORTA</t>
  </si>
  <si>
    <t>HİLAND KEPENK ALICISI</t>
  </si>
  <si>
    <t>HİLAND METAL 4 BUTONLU KUMANDA</t>
  </si>
  <si>
    <t>1x16A. UZATMA PRİZİ</t>
  </si>
  <si>
    <t>R361185EKM - 36KV 1*185-
400mm2 MEKANİK KONN. EK
MUFU</t>
  </si>
  <si>
    <t>Aster Enerji</t>
  </si>
  <si>
    <t>EM80 - EM 80 MAKARA
İZALATÖR</t>
  </si>
  <si>
    <t>MKANCA - MAKARA İZOLATÖR
ASKI KANCASI</t>
  </si>
  <si>
    <t>MMİL - MAKARA İZOLATÖR MİLİ</t>
  </si>
  <si>
    <t>ÖZENGİ - MAKARA İZOLATÖR
ÖZENGİ DEMİRİ</t>
  </si>
  <si>
    <t>A40A40 - A40/A40 AL KLEMENS</t>
  </si>
  <si>
    <t>A40B25 - A40/B25 AL-CU
KLEMENS</t>
  </si>
  <si>
    <t>A70A70 - A70/A70 AL KLEMENS</t>
  </si>
  <si>
    <t>A70B50 - A70/B50 AL-CU
KLEMENS</t>
  </si>
  <si>
    <t>TİŞ - TEHLİKE İKAZ ŞERİDİ</t>
  </si>
  <si>
    <t>kg</t>
  </si>
  <si>
    <t>DKNO5 - NO:5 DİREK
KELEPÇESİ</t>
  </si>
  <si>
    <t>E 01606 - SKP-EKKO KABLO
PABUCU 16mm2 M6</t>
  </si>
  <si>
    <t>E 02508 - SKP-EKKO KABLO
PABUCU 25mm2 M8</t>
  </si>
  <si>
    <t>4040YB - 40X40X40 YERALTI
BUAT</t>
  </si>
  <si>
    <t>9007/2 - 1KV 2MM İZOLE HALI</t>
  </si>
  <si>
    <t>B11240EK - 1KV 1*240mm2 EK
MUFU</t>
  </si>
  <si>
    <t>32mm Kangal Siyah 10Atü</t>
  </si>
  <si>
    <t>Besyol Plastik</t>
  </si>
  <si>
    <t>Koruge Boru 100 mm / SN8</t>
  </si>
  <si>
    <t>SOLAR ÇATI PROFİLİ 71134
/550MM</t>
  </si>
  <si>
    <t>2,4000 USD</t>
  </si>
  <si>
    <t>SOLAR 5,5*25 JF3-2 VİDA</t>
  </si>
  <si>
    <t>0,1908 USD</t>
  </si>
  <si>
    <t>EPDM SÜNGER BANT 3X30</t>
  </si>
  <si>
    <t>0,5000 USD</t>
  </si>
  <si>
    <t>35 MM ORTA TUTUCU SET</t>
  </si>
  <si>
    <t>0,6000 USD</t>
  </si>
  <si>
    <t>35 LİK KENAR TUTUCU SET</t>
  </si>
  <si>
    <t>30 LUK KENAR TUTUCU
SET</t>
  </si>
  <si>
    <t>BEYMETAL</t>
  </si>
  <si>
    <t>SOLAR ÇATI PROFİLİ 71134
/6300MM</t>
  </si>
  <si>
    <t>29,8866 USD</t>
  </si>
  <si>
    <t>0,2400 USD</t>
  </si>
  <si>
    <t>SOLAR 3MM EPDM SÜNGER
BANT 50MM*25MT</t>
  </si>
  <si>
    <t>0,7000 USD</t>
  </si>
  <si>
    <t>EVCO EV3X21 DİJİTAL TERMOSTAT</t>
  </si>
  <si>
    <t>SOĞUK ODA PANO KUTUSU DİJİTAL
TERMOSTAT İÇİN(BRISCOOL)BEYAZ</t>
  </si>
  <si>
    <t>IŞIKLI ŞALTER TEKLİ KALIN (KIRMIZI)(0-I)</t>
  </si>
  <si>
    <t>İZOLABANT BEYAZ(GLOBE)</t>
  </si>
  <si>
    <t>BİROL KLİMA</t>
  </si>
  <si>
    <t>PROARC ALEV ALMAZ
PANTOLON BRK / Mal Adi II :
03B01003</t>
  </si>
  <si>
    <t>PROARC ALEV ALMAZ
CEKET PANTOLON TAKIM
BRK / Mal Adi II : 03B04001</t>
  </si>
  <si>
    <t>PROARC ALEV ALMAZ POLO
YAKA T-SHİRT UZUN KOL
REFL. BRK / Mal Adi II :
03B12001</t>
  </si>
  <si>
    <t>PROARC ALEV ALMAZ
KABAN / Mal Adi II : 03B07003</t>
  </si>
  <si>
    <t>KESİLMEYE DİRENÇLİ NİTRİL
ELDİVEN NO:9 / Mal Adi II :
KKD-E1040-9 STL-1040</t>
  </si>
  <si>
    <t>Çift</t>
  </si>
  <si>
    <t>BERKA İŞ GÜVENLİĞİ</t>
  </si>
  <si>
    <t>NYY5535 - 5X35 mm NYY KABLO
SEVAL</t>
  </si>
  <si>
    <t>OEM-122 - SOLAR (PV1-F) 1*6
SİYAH</t>
  </si>
  <si>
    <t>OEM-123 - SOLAR (PV1-F) 1*6
KIRMIZI</t>
  </si>
  <si>
    <t>HRD-55 - SOMUN ADAPTÖÇRÜ
8X65</t>
  </si>
  <si>
    <t>HRD-56 - SOMUN ADAPTÖRÜ
10X65</t>
  </si>
  <si>
    <t>DATEN KABLO</t>
  </si>
  <si>
    <t>ABB BMS314C40 BASIC M 4X40A C TIPI OTOMATIK
SIGORTA 3K</t>
  </si>
  <si>
    <t>ABB BMF31440 BASIC 4X40A 30MA KACAK AKIM
KORUMA</t>
  </si>
  <si>
    <t>ABB BMS311C25 BASICM 1X25A C TIPI OTOMATIK
SIGORTA 3KA</t>
  </si>
  <si>
    <t>EGESİS ENERJİ</t>
  </si>
  <si>
    <t>36KV 1*95mm2
EK MUFU</t>
  </si>
  <si>
    <t>EGE PRESTİJ</t>
  </si>
  <si>
    <t>OGS60 ORTA
GERİLİM
KABLO SOYMA
APARATI</t>
  </si>
  <si>
    <t>1KV
3*25+16mm2
EK MUFU</t>
  </si>
  <si>
    <t>1KV
3*25+16mm2
ALÜMİNYUM
EK MUFU</t>
  </si>
  <si>
    <t>36KV 1*185-
400mm2
MEKANİK
KONN. EK
MUFU</t>
  </si>
  <si>
    <t>CRSM 53/13-
1000 TAMİR
YAMASI</t>
  </si>
  <si>
    <t>CRSM 107/29-
1000 TAMİR
YAMASI</t>
  </si>
  <si>
    <t>2CDS274001R0634 S204M C63</t>
  </si>
  <si>
    <t>2CDS200982R0002 S3C-A2 AÇMA BOBİNİ</t>
  </si>
  <si>
    <t>2CDS254001R0824 S 204-C 100 4X100 AMPER
SİGORTA</t>
  </si>
  <si>
    <t>CAT-AS542 1NC Stop Mantar Buton</t>
  </si>
  <si>
    <t>CAT-10 1 NO AÇIK KONTAK</t>
  </si>
  <si>
    <t>CAT-F14 60MM ACİL STOP ETİKETİ</t>
  </si>
  <si>
    <t>1SFL427101R1311 ABB AF116-40-11 100-250VAC/DC
AC1:160A 4P KONT.1NA+1NK</t>
  </si>
  <si>
    <t>CAT-AD16-22DSG YEŞİL SİNYAL LAMBA 220V 22MM</t>
  </si>
  <si>
    <t>CAT-AD16-22DSR KIRMIZI SİNYAL LAMBA 220V 22MM</t>
  </si>
  <si>
    <t>CAT-AD16-22DSO SARI SİNYAL LAMBA 220V 22MM</t>
  </si>
  <si>
    <t>LB.209.125.T 11 DELİKLİ - (2x25mm² + 9x16mm²)
TOPRAK BARASI 125A</t>
  </si>
  <si>
    <t>TU35-2-GY</t>
  </si>
  <si>
    <t>TU35-2-BU</t>
  </si>
  <si>
    <t>ENERGİMA</t>
  </si>
  <si>
    <t>YRPV-30 DC FUSİBLE CORE 1P
1000V 15A</t>
  </si>
  <si>
    <t>YTPV-32 DC FUSE HOLDER 1P
1000V</t>
  </si>
  <si>
    <t>YRPV-30 DC FUSİBLE CORE 1P 1000V 15A</t>
  </si>
  <si>
    <t>YTPV-32 DC FUSE HOLDER 1P 1000V</t>
  </si>
  <si>
    <t>2CDS254001R0324 S 204-C 32</t>
  </si>
  <si>
    <t>2CDS254001R0254 - S204-C25 4x25A C TIPI
OTOMATIK SIGORTA 6kA</t>
  </si>
  <si>
    <t>2CSF204004R1400 - FH 204 AC-40/0,03 mA
KAÇAK AKIM RÖLESI</t>
  </si>
  <si>
    <t>TEHLİKE SOLAR PV DİZİ KABLOSU PVC 5x7 CM</t>
  </si>
  <si>
    <t>DİKKAT DC GERİLİM VOLT:1000V PVC 5x7 CM</t>
  </si>
  <si>
    <t>DİKKAT AC GERİLİM VOLT: 400V PVC 9X14CM</t>
  </si>
  <si>
    <t>DİKKAT ÇİFT YÖNLÜ BESLEME VARDIR PVC
9X14CM</t>
  </si>
  <si>
    <t>2CDS213103R0634 - SH 203-C 63 NA</t>
  </si>
  <si>
    <t>CAT-01 NC KAPALI KONTAK</t>
  </si>
  <si>
    <t>CAT-AD16-22DSG YEŞİL SİNYAL LAMBA
220V 22MM</t>
  </si>
  <si>
    <t>CAT-AD16-22DSR KIRMIZI SİNYAL LAMBA
220V 22MM</t>
  </si>
  <si>
    <t>CAT-AD16-22DSO SARI SİNYAL LAMBA
220V 22MM</t>
  </si>
  <si>
    <t>PN 312/100</t>
  </si>
  <si>
    <t>2CDS213103R0634 - SH 203-C
63 NA</t>
  </si>
  <si>
    <t>2CDS254001R0804 - S 204-C 80</t>
  </si>
  <si>
    <t>GRIPPER GPR-181 NO:42
S1-P SİYAH AYAKKABI</t>
  </si>
  <si>
    <t>EGEPRO ÇEVRE VE İŞ GÜVENLİĞİ</t>
  </si>
  <si>
    <t>MEKAP RMK-94 GRİ-MAVİ
S1 İŞ AYAKKABISI</t>
  </si>
  <si>
    <t>ESSAFE GE 1548 VİDALI
BARET SARI</t>
  </si>
  <si>
    <t>MEKAP 157 S1 NO:42 İŞ
AYAKKABISI</t>
  </si>
  <si>
    <t>MEKAP 157 S1 NO:43 İŞ
AYAKKABISI</t>
  </si>
  <si>
    <t>ÇAĞSAN MERDİVEN</t>
  </si>
  <si>
    <t>MEKAP 157 S1 NO:45 İŞ
AYAKKABISI</t>
  </si>
  <si>
    <t>MEKAP 157 S1 NO:41 İŞ
AYAKKABISI</t>
  </si>
  <si>
    <t>17*1150 V KAYIŞI</t>
  </si>
  <si>
    <t>ERBEK RULMAN</t>
  </si>
  <si>
    <t>17*1175 V KAYIŞI</t>
  </si>
  <si>
    <t>2X0,75 KORDON</t>
  </si>
  <si>
    <t>ÖZESEN ELEKTRİK</t>
  </si>
  <si>
    <t>ESTER ENERJİ</t>
  </si>
  <si>
    <t>Ünal Solar Kablo H1Z2Z2-K (1,5KV DC)-
Siyah 6MM</t>
  </si>
  <si>
    <t>Ünal Solar Kablo H1Z2Z2-K (1,5KV DC)-
Kırmızı 6MM</t>
  </si>
  <si>
    <t>Çanta Seti</t>
  </si>
  <si>
    <t>SOLİNVED 610W TOPCON GÜNEŞ PANELİ BİFACİAL</t>
  </si>
  <si>
    <t>100,65 USD</t>
  </si>
  <si>
    <t>ALKA SOLAR</t>
  </si>
  <si>
    <t>SOLINVED SOLAR POMPA SÜRÜCÜSÜ 015 HP 11 KW-
900V</t>
  </si>
  <si>
    <t>351USD</t>
  </si>
  <si>
    <t>SOLINVED MC4 CONNECTOR</t>
  </si>
  <si>
    <t>0,65USD</t>
  </si>
  <si>
    <t>65,00 USD</t>
  </si>
  <si>
    <t>ZYXEL NWA55AXE
DUALRADIO POE OUTDOOR
AP</t>
  </si>
  <si>
    <t xml:space="preserve">Fonetsan </t>
  </si>
  <si>
    <t>CAT6 U/UTP 23 AWG 250
MHz PE Siyah Outdoor 500m
Makara</t>
  </si>
  <si>
    <t>NTT 61 CAT6 Sıkma Pensesi
8P8C - Class CLASS</t>
  </si>
  <si>
    <t>16 MM NYA-F H.FREE KABLO (H07Z-K)-
KAHVE-HES</t>
  </si>
  <si>
    <t>16 MM NYA-F H.FREE KABLO (H07Z-K)-
MAVİ-HES</t>
  </si>
  <si>
    <t>16 MM NYA-F H.FREE KABLO (H07Z-K)-GRİ- HES</t>
  </si>
  <si>
    <t>16 MM NYA-F H.FREE KABLO (H07Z-K)-
SİYAH-HES</t>
  </si>
  <si>
    <t>GEMLER ELEKTRİK</t>
  </si>
  <si>
    <t>08.0mm ISKOTA HALAT -
SOYLU</t>
  </si>
  <si>
    <t>03.0MM 6x7 KENDIR ÖZLÜ
GLV. Ç.HALAT - HK (ITHAL)</t>
  </si>
  <si>
    <t>3MM (1/8") KLEMENSDIN741</t>
  </si>
  <si>
    <t>8MM (5/16") ÇEKTIRME</t>
  </si>
  <si>
    <t>08x60 KANCALI DÜBEL -
KAPALI</t>
  </si>
  <si>
    <t>08MM DISI AYBOLT</t>
  </si>
  <si>
    <t>HAMDİ KÜÇÜK</t>
  </si>
  <si>
    <t>220V. REDUKTOR</t>
  </si>
  <si>
    <t>İNTER MOTOR</t>
  </si>
  <si>
    <t>FORLİFE 250W SOLAR PROJEKTÖR</t>
  </si>
  <si>
    <t>ÖZGÜR IŞIK</t>
  </si>
  <si>
    <t>ABB BMS614C63 BASICM 4X63A C TIPI
OTOMATIK SIGORTA 6KA</t>
  </si>
  <si>
    <t>POFACO 400V 0,5 KVAR KONDANSATOR</t>
  </si>
  <si>
    <t>POFACO 400V 1 KVAR KONDANSATOR</t>
  </si>
  <si>
    <t>POFACO 400V 1,5 KVAR KONDANSATOR</t>
  </si>
  <si>
    <t>POFACO 5 KVAR KOMPANZASYON
KONTAKTORU</t>
  </si>
  <si>
    <t>POFACO 400V 5 KVAR KONDANSATOR</t>
  </si>
  <si>
    <t>ÖZIŞIK TİCARET</t>
  </si>
  <si>
    <t>POFACO 230V 1,5 KVAR KONDANSATOR</t>
  </si>
  <si>
    <t>POFACO 400V 15 KVAR KONDANSATOR</t>
  </si>
  <si>
    <t>POFACO 400V 25 KVAR KONDANSATOR</t>
  </si>
  <si>
    <t>POFACO 400V 40 KVAR KONDANSATOR</t>
  </si>
  <si>
    <t>POFACO 400V 50 KVAR KONDANSATOR</t>
  </si>
  <si>
    <t>POFACO 160A NH 00 BUSON</t>
  </si>
  <si>
    <t>POFACO 32A NH 00 BUSON</t>
  </si>
  <si>
    <t>POFACO 63A NH 00 BUSON</t>
  </si>
  <si>
    <t>POFACO 100A NH 00 BUSON</t>
  </si>
  <si>
    <t>POFACO 125A NH 00 BUSON</t>
  </si>
  <si>
    <t>POFACO 50 KVAR KOMPANZASYON
KONTAKTORU</t>
  </si>
  <si>
    <t>POFACO 40 KVAR KOMPANZASYON
KONTAKTORU</t>
  </si>
  <si>
    <t>POFACO 30 KVAR KOMPANZASYON
KONTAKTORU</t>
  </si>
  <si>
    <t>POFACO 25 KVAR KOMPANZASYON
KONTAKTORU</t>
  </si>
  <si>
    <t>POFACO 20 KVAR KOMPANZASYON
KONTAKTORU</t>
  </si>
  <si>
    <t>POFACO 15 KVAR KOMPANZASYON
KONTAKTORU</t>
  </si>
  <si>
    <t>POFACO 10 KVAR KOMPANZASYON
KONTAKTORU</t>
  </si>
  <si>
    <t>POFACO TOROID KACAK AKIM ALGILAMA
ROLESI</t>
  </si>
  <si>
    <t>POFACO 210 MM TOROID AKIM TRAFOSU</t>
  </si>
  <si>
    <t>POFACO 00 BOY YATAY TIP YUK AYIRICI</t>
  </si>
  <si>
    <t>POFACO 16A NH 00 BUSON</t>
  </si>
  <si>
    <t>POFACO 40A NH 00 BUSON</t>
  </si>
  <si>
    <t>POFACO 230V 1 KVAR KONDANSATOR</t>
  </si>
  <si>
    <t>POFACO 230V 3 KVAR SONT REAKTORU</t>
  </si>
  <si>
    <t>POFACO 18 KADEMELI SVC'LI REAKTIF GUC
KONTROL ROLESI</t>
  </si>
  <si>
    <t>POFACO 10 KVAR ENDUKTIF YUK SURUCU</t>
  </si>
  <si>
    <t>DARBELİ MATKAP</t>
  </si>
  <si>
    <t>HAN TOOLS</t>
  </si>
  <si>
    <t>RADSAN Kinetic-Pro Aktif Paratoner</t>
  </si>
  <si>
    <t>2" Paratoner Direği, 60mm L: 6 metre</t>
  </si>
  <si>
    <t>2" Boru Ekleme Adaptörü, Sıcak Galvaniz Kaplı Çelik</t>
  </si>
  <si>
    <t>2" - 2x50 mm² Direk Tipi Kroşe, Bakır Tutuculu, Galvaniz Kaideli</t>
  </si>
  <si>
    <t>2x50 mm² Duvar Tipi Kroşe, Bakır Tutuculu, Galvaniz Kaideli</t>
  </si>
  <si>
    <t>Test Klemensi, Bakır, 2x50 mm², Galvaniz Cıvatalı Plastik Kapaklı</t>
  </si>
  <si>
    <t>Kaideli Tip Direk U Saplaması, Elektro Galvaniz, 25 cm</t>
  </si>
  <si>
    <t>5/4" Aktif Paratoner Koruma Borusu + PVC hortum, L: 3 metre</t>
  </si>
  <si>
    <t>Boru Kelepçesi, Elektro Galvaniz Kaplı Çelik, 5/4"</t>
  </si>
  <si>
    <t>20 mm Bakır Topraklama Elektrodu 1,5 m Sivri*</t>
  </si>
  <si>
    <t>Elektrod Başlığı, Bakır, 20 mm - 2x50 mm²</t>
  </si>
  <si>
    <t>60x60x6 mm Sıcak Galvaniz Köşebent Elektrod 1,5 m</t>
  </si>
  <si>
    <t>RADSAN ELEK.</t>
  </si>
  <si>
    <t>50mm² (8mm) Som Bakır İletken Tel</t>
  </si>
  <si>
    <t>KG</t>
  </si>
  <si>
    <t>Yakalama Ucu, Cr+Ni Kaplı Bakır, 20 mm x 40 cm</t>
  </si>
  <si>
    <t>8-14 SBA DİREK</t>
  </si>
  <si>
    <t>N-75 VBA TRAVERS</t>
  </si>
  <si>
    <t>1-6 A.G. KELEPÇE</t>
  </si>
  <si>
    <t>R.T.S BETON</t>
  </si>
  <si>
    <t>8-14 SBA DİREK ( 2.21 )</t>
  </si>
  <si>
    <t>GRANO 3 LÜ
ÇERÇEVE
FÜME</t>
  </si>
  <si>
    <t>GRANO
KOMİTATÖR
MODÜL+KAPAK
FÜME</t>
  </si>
  <si>
    <t>SERKAN KIRŞALLIOBA</t>
  </si>
  <si>
    <t>F075M - 0,75 mm2 NYAF KABLO
MAVİ</t>
  </si>
  <si>
    <t>F075S - 0,75 mm2 NYAF KABLO
SİYAH</t>
  </si>
  <si>
    <t>F2,5S - 2,5 mm2 NYAF KABLO
SİYAH</t>
  </si>
  <si>
    <t>R315S - 3*1,5mm2 TTR KABLO
SİYAH (Top)</t>
  </si>
  <si>
    <t>R2075S - 2*0,75mm2 TTR KABLO
SİYAH (Top)</t>
  </si>
  <si>
    <t>SERER ELEKTRİK</t>
  </si>
  <si>
    <t>R54SY - 5*4mm2 TTR KABLO
SİYAH (Yekpare</t>
  </si>
  <si>
    <t>335 - 3*35+50 ALPEK KABLO</t>
  </si>
  <si>
    <t>Y46 - 4*6 mm2 NYY KABLO
(Yekpare)</t>
  </si>
  <si>
    <t>R425B - 4*2,5mm2 TTR KABLO
BEYAZ (Top)</t>
  </si>
  <si>
    <t>R315B - 3*1,5mm2 TTR KABLO
BEYAZ (Top)</t>
  </si>
  <si>
    <t>R325S - 3*2,5mm2 TTR KABLO
SİYAH (Top</t>
  </si>
  <si>
    <t>BP16 - 16mm2 BAKIR KABLO
PABUCU</t>
  </si>
  <si>
    <t>BP25 - 25mm2 BAKIR KABLO
PABUCU</t>
  </si>
  <si>
    <t>F10S - 10 mm2 NYAF KABLO
SİYAH</t>
  </si>
  <si>
    <t>F16S - 16 mm2 NYAF KABLO
SİYAH</t>
  </si>
  <si>
    <t>F6S - 6 mm2 NYAF KABLO
SİYAH</t>
  </si>
  <si>
    <t>F25S - 25 mm2 NYAF KABLO
SİYAH</t>
  </si>
  <si>
    <t>ANT - İZOLE BANT SİYAH ( 3 M
)</t>
  </si>
  <si>
    <t>062 129 136300 - EB.10.210
KABLO BAĞI 3.6X300 SİYAH</t>
  </si>
  <si>
    <t>JINKO 20KW INVERTER</t>
  </si>
  <si>
    <t>JINKO</t>
  </si>
  <si>
    <t>JINKO B19237-CS</t>
  </si>
  <si>
    <t>SUNRAHOME</t>
  </si>
  <si>
    <t>32 LİK SPİRAL BORU</t>
  </si>
  <si>
    <t>370X4,8MM BEYAZ KABLO
BAĞI</t>
  </si>
  <si>
    <t>W OTOMAT RAYI 1 MT
(DELIKLI)</t>
  </si>
  <si>
    <t>ABS, IP66 PANO
400X600X200</t>
  </si>
  <si>
    <t>eB / 4 KUTUP 4.5kA C / 40A
OTOMATIK SIGO</t>
  </si>
  <si>
    <t>eB / 4 KUTUP 4.5kA C / 63A
OTOMATIK SIGO</t>
  </si>
  <si>
    <t>CHINT,(500502) 220V EKO
SERISI KIRMIZI SINYAL
LAMBASI</t>
  </si>
  <si>
    <t>AC TIpI 6kA 4 KUTUP 30mA
63A</t>
  </si>
  <si>
    <t>C.KAYA 40*40 DELIKLI
KABLO KANALI 6 MM</t>
  </si>
  <si>
    <t>G NC1-6511 220V 50/60Hz(R)</t>
  </si>
  <si>
    <t>BSF BKE335 3*35+16 ISI
BUZ.KABLO EK MUFU</t>
  </si>
  <si>
    <t>FINDIK IZOLATOR</t>
  </si>
  <si>
    <t>ONKA RAY TASIYICI SAC</t>
  </si>
  <si>
    <t>RTP 16 GRI RAY KLEMENS</t>
  </si>
  <si>
    <t>NÖTR KLEMENS</t>
  </si>
  <si>
    <t>SIEM ELEKTRİK</t>
  </si>
  <si>
    <t>LEGRAND ZAMAN SAATI</t>
  </si>
  <si>
    <t>FKR2 DIN FAZ SIRALI FAZ
KORUMA ROLESI</t>
  </si>
  <si>
    <t>SCH IZOLASYON BANDI
19MM*20M</t>
  </si>
  <si>
    <t>ALTIN NYA KABLO 2,5MM
KAHVE</t>
  </si>
  <si>
    <t>ALTIN NYA KABLO 2,5MM
MAVI</t>
  </si>
  <si>
    <t>ALTIN NYA KABLO 1,5MM
KAHVE</t>
  </si>
  <si>
    <t>ALTIN NYA KABLO 1,5MM
MAVI</t>
  </si>
  <si>
    <t>RG6/U6 RECBER</t>
  </si>
  <si>
    <t>14 LUK BORU</t>
  </si>
  <si>
    <t>Q14LUK 10ATU BORU</t>
  </si>
  <si>
    <t>ABS IP66 PANO 600*800*260</t>
  </si>
  <si>
    <t>CETINKAYA 40*60 DELIKLI
KABLO KANALI</t>
  </si>
  <si>
    <t>METOP 1 FAZLI ACIP KAPAMA
SALT. 10A</t>
  </si>
  <si>
    <t>Q22MM LEDLİ 100A
AMPERMETRE YEŞİL</t>
  </si>
  <si>
    <t>FİJİTAL VOLTMETRE
(REGÜLATÖRLER İÇİN SERVO
KONTROL) 72X72MM (1-300V
AC )</t>
  </si>
  <si>
    <t>ABS IP66 PANO 500*700*250</t>
  </si>
  <si>
    <t>G NXC-25 220V 50/60HZ (R)</t>
  </si>
  <si>
    <t>eB / 4 KUTUP 4.5kA C / 25A
OTOMATIK SIGO</t>
  </si>
  <si>
    <t>2+5 DAGITIM KLEMENSI 4
Kutuplu</t>
  </si>
  <si>
    <t>SUTEM,(STM 411) DAGITICI
UNITE 4*11</t>
  </si>
  <si>
    <t>ke-FKR1 FAZ KOR.ROL. %20
SABIT</t>
  </si>
  <si>
    <t>METOP 3 FAZLI KUTUP
DEGISTIRICI 25A</t>
  </si>
  <si>
    <t>B ACIL STP MANTAR 40 MM -
EMERGENC</t>
  </si>
  <si>
    <t>B KONTAK BLOK-STP</t>
  </si>
  <si>
    <t>OLUM TEHLIKE LEVHASI</t>
  </si>
  <si>
    <t>TRIMBOX B+C SINIFI 4KTP
100KA PARAFUDR</t>
  </si>
  <si>
    <t>NXC-40 220V 50/60 Hz</t>
  </si>
  <si>
    <t>eB / 4 KUTUP 4.5kA C / 50A
OTOMATIK SIGO</t>
  </si>
  <si>
    <t>eB / 4 KUTUP 4.5kA C / 32A
OTOMATIK SIGO</t>
  </si>
  <si>
    <t>GECMELI DERIN KASA</t>
  </si>
  <si>
    <t>WIN NYM KABLO 3*2,5</t>
  </si>
  <si>
    <t>WIN NYM KABLO 2*1,5</t>
  </si>
  <si>
    <t>ALTIN NYA KABLO 2,5MM
SIYAH</t>
  </si>
  <si>
    <t>ALTIN NYA KABLO 2,5MM
GRI</t>
  </si>
  <si>
    <t>ALTIN NYA KABLO 1,5MM
SIYAH</t>
  </si>
  <si>
    <t>Q14 PLASTYK
SPYRAL(SYYAH</t>
  </si>
  <si>
    <t>NORM BUAT KAPAKSIZ</t>
  </si>
  <si>
    <t>WIN NYM KABLO 3*1,5</t>
  </si>
  <si>
    <t>VIKO 36LI S.A SIGORTA
KUTUSU</t>
  </si>
  <si>
    <t>NXM-63S/4300B 63A 25 KA</t>
  </si>
  <si>
    <t>0,72kV ASB 75/5A Cl:0,5 10VA
A.TRF.MUHURLU</t>
  </si>
  <si>
    <t>eB / 3 KUTUP 4.5kA C / 50A
OTOMATIK SIGO</t>
  </si>
  <si>
    <t>eB / 3 KUTUP 4.5kA C / 40A
OTOMATIK SIGO</t>
  </si>
  <si>
    <t>eB / 3 KUTUP 4.5kA C / 25A
OTOMATIK SIGO</t>
  </si>
  <si>
    <t>eB / 3 KUTUP 4.5kA C / 16A
OTOMATIK SIGO</t>
  </si>
  <si>
    <t>eB / 1 KUTUP 4.5kA C / 25A
OTOMATIK SIGO</t>
  </si>
  <si>
    <t>eB / 1 KUTUP 4.5kA C / 6A
OTOMATIK SIGOR</t>
  </si>
  <si>
    <t>VKC-01 MOTOR KORUMA
ROLESI</t>
  </si>
  <si>
    <t>BORSAN SPEAKER KORDON
2*0,75 MM2 KIRMIZI-BEYAZ</t>
  </si>
  <si>
    <t>5/32A.380V.2AD ON-
1/16A.220V.2AD YAN</t>
  </si>
  <si>
    <t>CHINT,(500502) 220V EKO
SERISI KIRMIZI SINYAL LAMBASI</t>
  </si>
  <si>
    <t>AC TIpI 6kA 4 KUTUP 30mA 25A</t>
  </si>
  <si>
    <t>6,00 mm İZOLELİ YÜKSÜK (
TURUNCU</t>
  </si>
  <si>
    <t>10,00 mm İZOLELİ YÜKSÜK ( KAHVE )</t>
  </si>
  <si>
    <t>25,00MM SİYAH İZOLELİ TEK GİRİŞLİ
YÜKSÜK</t>
  </si>
  <si>
    <t>CEE Norm 5/16A 380V
UZATMA PRIZ</t>
  </si>
  <si>
    <t>0,75 mm İZOLELİ
YÜKSÜK ( MAVİ )</t>
  </si>
  <si>
    <t>Nemliyer Anahtar, Beyaz</t>
  </si>
  <si>
    <t>100W LED PROJEKTÖR</t>
  </si>
  <si>
    <t>OG SİGORTA PATRONU 40A</t>
  </si>
  <si>
    <t>3*32 A W OTOMAT</t>
  </si>
  <si>
    <t>SENDA ELEKTRİK</t>
  </si>
  <si>
    <t>1*95MM2 BAKIR XLPE KABLO</t>
  </si>
  <si>
    <t>1*95/16 ISI BÜZÜŞMELİ EK MUFU</t>
  </si>
  <si>
    <t>501793 PV PROTEC C 40/1000 Y TD RAYCAP</t>
  </si>
  <si>
    <t>38,00EUR</t>
  </si>
  <si>
    <t>S Novagroup</t>
  </si>
  <si>
    <t>Seval 2,5 NYAF Kablo</t>
  </si>
  <si>
    <t>STEP ELEKTRONİK</t>
  </si>
  <si>
    <t>JINKO SOLAR JKM585N-
72HL4-BDV</t>
  </si>
  <si>
    <t>105,300 USD</t>
  </si>
  <si>
    <t>3.790,80 USD</t>
  </si>
  <si>
    <t>TALİVA ENERJİ</t>
  </si>
  <si>
    <t>JINKO SOLAR JKM590N-
72HL4-BDV</t>
  </si>
  <si>
    <t>106,200 USD</t>
  </si>
  <si>
    <t>3.823,20 USD</t>
  </si>
  <si>
    <t>LC1D25M7-25A Tesys D Kontaktör</t>
  </si>
  <si>
    <t>ATS01N222QN-ALTISTART</t>
  </si>
  <si>
    <t>TEM TEKNİK</t>
  </si>
  <si>
    <t>4X2,5 KABLO</t>
  </si>
  <si>
    <t>2,5 NYA KABLO</t>
  </si>
  <si>
    <t>4X63 A OTOMAT</t>
  </si>
  <si>
    <t>2,5 NYA</t>
  </si>
  <si>
    <t>1,5 NYA KABLO</t>
  </si>
  <si>
    <t>İSKONTO ORANI</t>
  </si>
  <si>
    <t>İSKONTOLU BİRİM FİYAT</t>
  </si>
  <si>
    <t>TOPLAM(İSKONTOSUZ)</t>
  </si>
  <si>
    <t>278,40
USD</t>
  </si>
  <si>
    <t>15,00
USD</t>
  </si>
  <si>
    <t>60,00
USD</t>
  </si>
  <si>
    <t>4,80
USD</t>
  </si>
  <si>
    <t>298,87
USD</t>
  </si>
  <si>
    <t>48,00
USD</t>
  </si>
  <si>
    <t>10,00
USD</t>
  </si>
  <si>
    <t>22,40
USD</t>
  </si>
  <si>
    <t>3.220,80 USD</t>
  </si>
  <si>
    <t>351,00 USD</t>
  </si>
  <si>
    <t>TOPLAM İSKONTOLU(KDV'SİZ)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</si>
</sst>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₺&quot;#,##0.00"/>
  </numFmts>
  <fonts count="2" x14ac:knownFonts="1">
    <font>
      <sz val="11"/>
      <color theme="1"/>
      <name val="Aptos Narrow"/>
      <family val="2"/>
      <charset val="162"/>
      <scheme val="minor"/>
    </font>
    <font>
      <sz val="11"/>
      <name val="Aptos Narrow"/>
      <family val="2"/>
      <charset val="16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8">
    <xf numFmtId="0" fontId="0" fillId="0" borderId="0" xfId="0"/>
    <xf numFmtId="49" fontId="0" fillId="2" borderId="0" xfId="0" applyNumberFormat="1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4" fontId="0" fillId="0" borderId="0" xfId="0" applyNumberFormat="1"/>
    <xf numFmtId="49" fontId="0" fillId="3" borderId="0" xfId="0" applyNumberFormat="1" applyFill="1" applyAlignment="1">
      <alignment horizontal="center"/>
    </xf>
    <xf numFmtId="49" fontId="0" fillId="3" borderId="0" xfId="0" applyNumberFormat="1" applyFill="1"/>
    <xf numFmtId="164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14" fontId="0" fillId="3" borderId="0" xfId="0" applyNumberFormat="1" applyFill="1"/>
    <xf numFmtId="49" fontId="0" fillId="4" borderId="0" xfId="0" applyNumberFormat="1" applyFill="1" applyAlignment="1">
      <alignment horizontal="center"/>
    </xf>
    <xf numFmtId="49" fontId="0" fillId="4" borderId="0" xfId="0" applyNumberFormat="1" applyFill="1"/>
    <xf numFmtId="164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4" fontId="0" fillId="4" borderId="0" xfId="0" applyNumberFormat="1" applyFill="1"/>
    <xf numFmtId="49" fontId="1" fillId="6" borderId="0" xfId="0" applyNumberFormat="1" applyFont="1" applyFill="1"/>
    <xf numFmtId="164" fontId="1" fillId="6" borderId="0" xfId="0" applyNumberFormat="1" applyFont="1" applyFill="1" applyAlignment="1">
      <alignment horizontal="center"/>
    </xf>
    <xf numFmtId="2" fontId="1" fillId="6" borderId="0" xfId="0" applyNumberFormat="1" applyFont="1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14" fontId="1" fillId="6" borderId="0" xfId="0" applyNumberFormat="1" applyFont="1" applyFill="1"/>
    <xf numFmtId="49" fontId="1" fillId="6" borderId="0" xfId="0" applyNumberFormat="1" applyFont="1" applyFill="1" applyAlignment="1">
      <alignment wrapText="1"/>
    </xf>
    <xf numFmtId="49" fontId="0" fillId="7" borderId="0" xfId="0" applyNumberFormat="1" applyFill="1" applyAlignment="1">
      <alignment wrapText="1"/>
    </xf>
    <xf numFmtId="164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49" fontId="0" fillId="7" borderId="0" xfId="0" applyNumberFormat="1" applyFill="1" applyAlignment="1">
      <alignment horizontal="center"/>
    </xf>
    <xf numFmtId="14" fontId="0" fillId="7" borderId="0" xfId="0" applyNumberFormat="1" applyFill="1"/>
    <xf numFmtId="49" fontId="0" fillId="8" borderId="0" xfId="0" applyNumberFormat="1" applyFill="1"/>
    <xf numFmtId="164" fontId="0" fillId="8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49" fontId="0" fillId="8" borderId="0" xfId="0" applyNumberFormat="1" applyFill="1" applyAlignment="1">
      <alignment horizontal="center"/>
    </xf>
    <xf numFmtId="49" fontId="0" fillId="8" borderId="0" xfId="0" applyNumberFormat="1" applyFill="1" applyAlignment="1">
      <alignment wrapText="1"/>
    </xf>
    <xf numFmtId="14" fontId="0" fillId="8" borderId="0" xfId="0" applyNumberFormat="1" applyFill="1"/>
    <xf numFmtId="49" fontId="0" fillId="9" borderId="0" xfId="0" applyNumberFormat="1" applyFill="1"/>
    <xf numFmtId="164" fontId="0" fillId="9" borderId="0" xfId="0" applyNumberFormat="1" applyFill="1" applyAlignment="1">
      <alignment horizontal="center"/>
    </xf>
    <xf numFmtId="2" fontId="0" fillId="9" borderId="0" xfId="0" applyNumberFormat="1" applyFill="1" applyAlignment="1">
      <alignment horizontal="center"/>
    </xf>
    <xf numFmtId="49" fontId="0" fillId="9" borderId="0" xfId="0" applyNumberFormat="1" applyFill="1" applyAlignment="1">
      <alignment horizontal="center"/>
    </xf>
    <xf numFmtId="49" fontId="0" fillId="9" borderId="0" xfId="0" applyNumberFormat="1" applyFill="1" applyAlignment="1">
      <alignment wrapText="1"/>
    </xf>
    <xf numFmtId="14" fontId="0" fillId="9" borderId="0" xfId="0" applyNumberFormat="1" applyFill="1"/>
    <xf numFmtId="49" fontId="0" fillId="10" borderId="0" xfId="0" applyNumberFormat="1" applyFill="1" applyAlignment="1">
      <alignment wrapText="1"/>
    </xf>
    <xf numFmtId="164" fontId="0" fillId="10" borderId="0" xfId="0" applyNumberFormat="1" applyFill="1" applyAlignment="1">
      <alignment horizontal="center"/>
    </xf>
    <xf numFmtId="2" fontId="0" fillId="10" borderId="0" xfId="0" applyNumberFormat="1" applyFill="1" applyAlignment="1">
      <alignment horizontal="center"/>
    </xf>
    <xf numFmtId="49" fontId="0" fillId="10" borderId="0" xfId="0" applyNumberFormat="1" applyFill="1" applyAlignment="1">
      <alignment horizontal="center"/>
    </xf>
    <xf numFmtId="14" fontId="0" fillId="10" borderId="0" xfId="0" applyNumberFormat="1" applyFill="1"/>
    <xf numFmtId="49" fontId="0" fillId="11" borderId="0" xfId="0" applyNumberFormat="1" applyFill="1" applyAlignment="1">
      <alignment wrapText="1"/>
    </xf>
    <xf numFmtId="164" fontId="0" fillId="11" borderId="0" xfId="0" applyNumberFormat="1" applyFill="1" applyAlignment="1">
      <alignment horizontal="center"/>
    </xf>
    <xf numFmtId="2" fontId="0" fillId="11" borderId="0" xfId="0" applyNumberFormat="1" applyFill="1" applyAlignment="1">
      <alignment horizontal="center"/>
    </xf>
    <xf numFmtId="49" fontId="0" fillId="11" borderId="0" xfId="0" applyNumberFormat="1" applyFill="1" applyAlignment="1">
      <alignment horizontal="center"/>
    </xf>
    <xf numFmtId="14" fontId="0" fillId="11" borderId="0" xfId="0" applyNumberFormat="1" applyFill="1"/>
    <xf numFmtId="49" fontId="0" fillId="7" borderId="0" xfId="0" applyNumberFormat="1" applyFill="1"/>
    <xf numFmtId="49" fontId="0" fillId="12" borderId="0" xfId="0" applyNumberFormat="1" applyFill="1"/>
    <xf numFmtId="164" fontId="0" fillId="12" borderId="0" xfId="0" applyNumberFormat="1" applyFill="1" applyAlignment="1">
      <alignment horizontal="center"/>
    </xf>
    <xf numFmtId="2" fontId="0" fillId="12" borderId="0" xfId="0" applyNumberFormat="1" applyFill="1" applyAlignment="1">
      <alignment horizontal="center"/>
    </xf>
    <xf numFmtId="49" fontId="0" fillId="12" borderId="0" xfId="0" applyNumberFormat="1" applyFill="1" applyAlignment="1">
      <alignment horizontal="center"/>
    </xf>
    <xf numFmtId="14" fontId="0" fillId="12" borderId="0" xfId="0" applyNumberFormat="1" applyFill="1"/>
    <xf numFmtId="49" fontId="0" fillId="12" borderId="0" xfId="0" applyNumberFormat="1" applyFill="1" applyAlignment="1">
      <alignment wrapText="1"/>
    </xf>
    <xf numFmtId="49" fontId="0" fillId="11" borderId="0" xfId="0" applyNumberFormat="1" applyFill="1"/>
    <xf numFmtId="49" fontId="0" fillId="13" borderId="0" xfId="0" applyNumberFormat="1" applyFill="1" applyAlignment="1">
      <alignment wrapText="1"/>
    </xf>
    <xf numFmtId="164" fontId="0" fillId="13" borderId="0" xfId="0" applyNumberFormat="1" applyFill="1" applyAlignment="1">
      <alignment horizontal="center"/>
    </xf>
    <xf numFmtId="2" fontId="0" fillId="13" borderId="0" xfId="0" applyNumberFormat="1" applyFill="1" applyAlignment="1">
      <alignment horizontal="center"/>
    </xf>
    <xf numFmtId="49" fontId="0" fillId="13" borderId="0" xfId="0" applyNumberFormat="1" applyFill="1" applyAlignment="1">
      <alignment horizontal="center"/>
    </xf>
    <xf numFmtId="49" fontId="0" fillId="13" borderId="0" xfId="0" applyNumberFormat="1" applyFill="1"/>
    <xf numFmtId="14" fontId="0" fillId="13" borderId="0" xfId="0" applyNumberFormat="1" applyFill="1"/>
    <xf numFmtId="49" fontId="0" fillId="14" borderId="0" xfId="0" applyNumberFormat="1" applyFill="1" applyAlignment="1">
      <alignment wrapText="1"/>
    </xf>
    <xf numFmtId="164" fontId="0" fillId="14" borderId="0" xfId="0" applyNumberFormat="1" applyFill="1" applyAlignment="1">
      <alignment horizontal="center"/>
    </xf>
    <xf numFmtId="2" fontId="0" fillId="14" borderId="0" xfId="0" applyNumberFormat="1" applyFill="1" applyAlignment="1">
      <alignment horizontal="center"/>
    </xf>
    <xf numFmtId="49" fontId="0" fillId="14" borderId="0" xfId="0" applyNumberFormat="1" applyFill="1" applyAlignment="1">
      <alignment horizontal="center"/>
    </xf>
    <xf numFmtId="49" fontId="0" fillId="14" borderId="0" xfId="0" applyNumberFormat="1" applyFill="1"/>
    <xf numFmtId="14" fontId="0" fillId="14" borderId="0" xfId="0" applyNumberFormat="1" applyFill="1"/>
    <xf numFmtId="49" fontId="0" fillId="15" borderId="0" xfId="0" applyNumberFormat="1" applyFill="1" applyAlignment="1">
      <alignment wrapText="1"/>
    </xf>
    <xf numFmtId="164" fontId="0" fillId="15" borderId="0" xfId="0" applyNumberFormat="1" applyFill="1" applyAlignment="1">
      <alignment horizontal="center"/>
    </xf>
    <xf numFmtId="2" fontId="0" fillId="15" borderId="0" xfId="0" applyNumberFormat="1" applyFill="1" applyAlignment="1">
      <alignment horizontal="center"/>
    </xf>
    <xf numFmtId="49" fontId="0" fillId="15" borderId="0" xfId="0" applyNumberFormat="1" applyFill="1" applyAlignment="1">
      <alignment horizontal="center"/>
    </xf>
    <xf numFmtId="49" fontId="0" fillId="15" borderId="0" xfId="0" applyNumberFormat="1" applyFill="1"/>
    <xf numFmtId="14" fontId="0" fillId="15" borderId="0" xfId="0" applyNumberFormat="1" applyFill="1"/>
    <xf numFmtId="49" fontId="0" fillId="16" borderId="0" xfId="0" applyNumberFormat="1" applyFill="1" applyAlignment="1">
      <alignment wrapText="1"/>
    </xf>
    <xf numFmtId="164" fontId="0" fillId="16" borderId="0" xfId="0" applyNumberFormat="1" applyFill="1" applyAlignment="1">
      <alignment horizontal="center"/>
    </xf>
    <xf numFmtId="2" fontId="0" fillId="16" borderId="0" xfId="0" applyNumberFormat="1" applyFill="1" applyAlignment="1">
      <alignment horizontal="center"/>
    </xf>
    <xf numFmtId="49" fontId="0" fillId="16" borderId="0" xfId="0" applyNumberFormat="1" applyFill="1" applyAlignment="1">
      <alignment horizontal="center"/>
    </xf>
    <xf numFmtId="49" fontId="0" fillId="16" borderId="0" xfId="0" applyNumberFormat="1" applyFill="1"/>
    <xf numFmtId="14" fontId="0" fillId="16" borderId="0" xfId="0" applyNumberFormat="1" applyFill="1"/>
    <xf numFmtId="49" fontId="0" fillId="6" borderId="0" xfId="0" applyNumberFormat="1" applyFill="1" applyAlignment="1">
      <alignment wrapText="1"/>
    </xf>
    <xf numFmtId="164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49" fontId="0" fillId="6" borderId="0" xfId="0" applyNumberFormat="1" applyFill="1" applyAlignment="1">
      <alignment horizontal="center"/>
    </xf>
    <xf numFmtId="49" fontId="0" fillId="6" borderId="0" xfId="0" applyNumberFormat="1" applyFill="1"/>
    <xf numFmtId="14" fontId="0" fillId="6" borderId="0" xfId="0" applyNumberFormat="1" applyFill="1"/>
    <xf numFmtId="49" fontId="0" fillId="17" borderId="0" xfId="0" applyNumberFormat="1" applyFill="1" applyAlignment="1">
      <alignment wrapText="1"/>
    </xf>
    <xf numFmtId="164" fontId="0" fillId="17" borderId="0" xfId="0" applyNumberFormat="1" applyFill="1" applyAlignment="1">
      <alignment horizontal="center"/>
    </xf>
    <xf numFmtId="2" fontId="0" fillId="17" borderId="0" xfId="0" applyNumberFormat="1" applyFill="1" applyAlignment="1">
      <alignment horizontal="center"/>
    </xf>
    <xf numFmtId="49" fontId="0" fillId="17" borderId="0" xfId="0" applyNumberFormat="1" applyFill="1" applyAlignment="1">
      <alignment horizontal="center"/>
    </xf>
    <xf numFmtId="49" fontId="0" fillId="17" borderId="0" xfId="0" applyNumberFormat="1" applyFill="1"/>
    <xf numFmtId="14" fontId="0" fillId="17" borderId="0" xfId="0" applyNumberFormat="1" applyFill="1"/>
    <xf numFmtId="49" fontId="0" fillId="18" borderId="0" xfId="0" applyNumberFormat="1" applyFill="1"/>
    <xf numFmtId="164" fontId="0" fillId="18" borderId="0" xfId="0" applyNumberFormat="1" applyFill="1" applyAlignment="1">
      <alignment horizontal="center"/>
    </xf>
    <xf numFmtId="2" fontId="0" fillId="18" borderId="0" xfId="0" applyNumberFormat="1" applyFill="1" applyAlignment="1">
      <alignment horizontal="center"/>
    </xf>
    <xf numFmtId="49" fontId="0" fillId="18" borderId="0" xfId="0" applyNumberFormat="1" applyFill="1" applyAlignment="1">
      <alignment horizontal="center"/>
    </xf>
    <xf numFmtId="14" fontId="0" fillId="18" borderId="0" xfId="0" applyNumberFormat="1" applyFill="1"/>
    <xf numFmtId="49" fontId="0" fillId="18" borderId="0" xfId="0" applyNumberFormat="1" applyFill="1" applyAlignment="1">
      <alignment wrapText="1"/>
    </xf>
    <xf numFmtId="49" fontId="0" fillId="5" borderId="0" xfId="0" applyNumberFormat="1" applyFill="1" applyAlignment="1">
      <alignment wrapText="1"/>
    </xf>
    <xf numFmtId="164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49" fontId="0" fillId="5" borderId="0" xfId="0" applyNumberFormat="1" applyFill="1" applyAlignment="1">
      <alignment horizontal="center"/>
    </xf>
    <xf numFmtId="49" fontId="0" fillId="5" borderId="0" xfId="0" applyNumberFormat="1" applyFill="1"/>
    <xf numFmtId="14" fontId="0" fillId="5" borderId="0" xfId="0" applyNumberFormat="1" applyFill="1"/>
    <xf numFmtId="49" fontId="0" fillId="19" borderId="0" xfId="0" applyNumberFormat="1" applyFill="1" applyAlignment="1">
      <alignment wrapText="1"/>
    </xf>
    <xf numFmtId="164" fontId="0" fillId="19" borderId="0" xfId="0" applyNumberFormat="1" applyFill="1" applyAlignment="1">
      <alignment horizontal="center"/>
    </xf>
    <xf numFmtId="2" fontId="0" fillId="19" borderId="0" xfId="0" applyNumberFormat="1" applyFill="1" applyAlignment="1">
      <alignment horizontal="center"/>
    </xf>
    <xf numFmtId="49" fontId="0" fillId="19" borderId="0" xfId="0" applyNumberFormat="1" applyFill="1" applyAlignment="1">
      <alignment horizontal="center"/>
    </xf>
    <xf numFmtId="49" fontId="0" fillId="19" borderId="0" xfId="0" applyNumberFormat="1" applyFill="1"/>
    <xf numFmtId="14" fontId="0" fillId="19" borderId="0" xfId="0" applyNumberFormat="1" applyFill="1"/>
    <xf numFmtId="49" fontId="0" fillId="20" borderId="0" xfId="0" applyNumberFormat="1" applyFill="1" applyAlignment="1">
      <alignment wrapText="1"/>
    </xf>
    <xf numFmtId="164" fontId="0" fillId="20" borderId="0" xfId="0" applyNumberFormat="1" applyFill="1" applyAlignment="1">
      <alignment horizontal="center"/>
    </xf>
    <xf numFmtId="2" fontId="0" fillId="20" borderId="0" xfId="0" applyNumberFormat="1" applyFill="1" applyAlignment="1">
      <alignment horizontal="center"/>
    </xf>
    <xf numFmtId="49" fontId="0" fillId="20" borderId="0" xfId="0" applyNumberFormat="1" applyFill="1" applyAlignment="1">
      <alignment horizontal="center"/>
    </xf>
    <xf numFmtId="49" fontId="0" fillId="20" borderId="0" xfId="0" applyNumberFormat="1" applyFill="1"/>
    <xf numFmtId="14" fontId="0" fillId="20" borderId="0" xfId="0" applyNumberFormat="1" applyFill="1"/>
    <xf numFmtId="49" fontId="0" fillId="21" borderId="0" xfId="0" applyNumberFormat="1" applyFill="1" applyAlignment="1">
      <alignment wrapText="1"/>
    </xf>
    <xf numFmtId="164" fontId="0" fillId="21" borderId="0" xfId="0" applyNumberFormat="1" applyFill="1" applyAlignment="1">
      <alignment horizontal="center"/>
    </xf>
    <xf numFmtId="2" fontId="0" fillId="21" borderId="0" xfId="0" applyNumberFormat="1" applyFill="1" applyAlignment="1">
      <alignment horizontal="center"/>
    </xf>
    <xf numFmtId="49" fontId="0" fillId="21" borderId="0" xfId="0" applyNumberFormat="1" applyFill="1" applyAlignment="1">
      <alignment horizontal="center"/>
    </xf>
    <xf numFmtId="49" fontId="0" fillId="21" borderId="0" xfId="0" applyNumberFormat="1" applyFill="1"/>
    <xf numFmtId="14" fontId="0" fillId="21" borderId="0" xfId="0" applyNumberFormat="1" applyFill="1"/>
    <xf numFmtId="49" fontId="0" fillId="22" borderId="0" xfId="0" applyNumberFormat="1" applyFill="1" applyAlignment="1">
      <alignment wrapText="1"/>
    </xf>
    <xf numFmtId="164" fontId="0" fillId="22" borderId="0" xfId="0" applyNumberFormat="1" applyFill="1" applyAlignment="1">
      <alignment horizontal="center"/>
    </xf>
    <xf numFmtId="2" fontId="0" fillId="22" borderId="0" xfId="0" applyNumberFormat="1" applyFill="1" applyAlignment="1">
      <alignment horizontal="center"/>
    </xf>
    <xf numFmtId="49" fontId="0" fillId="22" borderId="0" xfId="0" applyNumberFormat="1" applyFill="1" applyAlignment="1">
      <alignment horizontal="center"/>
    </xf>
    <xf numFmtId="49" fontId="0" fillId="22" borderId="0" xfId="0" applyNumberFormat="1" applyFill="1"/>
    <xf numFmtId="14" fontId="0" fillId="22" borderId="0" xfId="0" applyNumberFormat="1" applyFill="1"/>
    <xf numFmtId="49" fontId="0" fillId="23" borderId="0" xfId="0" applyNumberFormat="1" applyFill="1"/>
    <xf numFmtId="164" fontId="0" fillId="23" borderId="0" xfId="0" applyNumberFormat="1" applyFill="1" applyAlignment="1">
      <alignment horizontal="center"/>
    </xf>
    <xf numFmtId="2" fontId="0" fillId="23" borderId="0" xfId="0" applyNumberFormat="1" applyFill="1" applyAlignment="1">
      <alignment horizontal="center"/>
    </xf>
    <xf numFmtId="49" fontId="0" fillId="23" borderId="0" xfId="0" applyNumberFormat="1" applyFill="1" applyAlignment="1">
      <alignment horizontal="center"/>
    </xf>
    <xf numFmtId="14" fontId="0" fillId="23" borderId="0" xfId="0" applyNumberFormat="1" applyFill="1"/>
    <xf numFmtId="49" fontId="0" fillId="23" borderId="0" xfId="0" applyNumberFormat="1" applyFill="1" applyAlignment="1">
      <alignment wrapText="1"/>
    </xf>
    <xf numFmtId="49" fontId="0" fillId="24" borderId="0" xfId="0" applyNumberFormat="1" applyFill="1" applyAlignment="1">
      <alignment wrapText="1"/>
    </xf>
    <xf numFmtId="164" fontId="0" fillId="24" borderId="0" xfId="0" applyNumberFormat="1" applyFill="1" applyAlignment="1">
      <alignment horizontal="center"/>
    </xf>
    <xf numFmtId="2" fontId="0" fillId="24" borderId="0" xfId="0" applyNumberFormat="1" applyFill="1" applyAlignment="1">
      <alignment horizontal="center"/>
    </xf>
    <xf numFmtId="49" fontId="0" fillId="24" borderId="0" xfId="0" applyNumberFormat="1" applyFill="1" applyAlignment="1">
      <alignment horizontal="center"/>
    </xf>
    <xf numFmtId="49" fontId="0" fillId="24" borderId="0" xfId="0" applyNumberFormat="1" applyFill="1"/>
    <xf numFmtId="14" fontId="0" fillId="24" borderId="0" xfId="0" applyNumberFormat="1" applyFill="1"/>
    <xf numFmtId="49" fontId="0" fillId="25" borderId="0" xfId="0" applyNumberFormat="1" applyFill="1" applyAlignment="1">
      <alignment wrapText="1"/>
    </xf>
    <xf numFmtId="164" fontId="0" fillId="25" borderId="0" xfId="0" applyNumberFormat="1" applyFill="1" applyAlignment="1">
      <alignment horizontal="center"/>
    </xf>
    <xf numFmtId="2" fontId="0" fillId="25" borderId="0" xfId="0" applyNumberFormat="1" applyFill="1" applyAlignment="1">
      <alignment horizontal="center"/>
    </xf>
    <xf numFmtId="49" fontId="0" fillId="25" borderId="0" xfId="0" applyNumberFormat="1" applyFill="1" applyAlignment="1">
      <alignment horizontal="center"/>
    </xf>
    <xf numFmtId="49" fontId="0" fillId="25" borderId="0" xfId="0" applyNumberFormat="1" applyFill="1"/>
    <xf numFmtId="14" fontId="0" fillId="25" borderId="0" xfId="0" applyNumberFormat="1" applyFill="1"/>
    <xf numFmtId="49" fontId="0" fillId="10" borderId="0" xfId="0" applyNumberFormat="1" applyFill="1"/>
    <xf numFmtId="10" fontId="0" fillId="3" borderId="0" xfId="0" applyNumberFormat="1" applyFill="1" applyAlignment="1">
      <alignment horizontal="center"/>
    </xf>
    <xf numFmtId="10" fontId="0" fillId="2" borderId="0" xfId="0" applyNumberFormat="1" applyFill="1" applyAlignment="1">
      <alignment horizontal="center"/>
    </xf>
    <xf numFmtId="10" fontId="0" fillId="4" borderId="0" xfId="0" applyNumberFormat="1" applyFill="1" applyAlignment="1">
      <alignment horizontal="center"/>
    </xf>
    <xf numFmtId="10" fontId="1" fillId="6" borderId="0" xfId="0" applyNumberFormat="1" applyFont="1" applyFill="1" applyAlignment="1">
      <alignment horizontal="center"/>
    </xf>
    <xf numFmtId="10" fontId="0" fillId="7" borderId="0" xfId="0" applyNumberFormat="1" applyFill="1" applyAlignment="1">
      <alignment horizontal="center"/>
    </xf>
    <xf numFmtId="10" fontId="0" fillId="8" borderId="0" xfId="0" applyNumberFormat="1" applyFill="1" applyAlignment="1">
      <alignment horizontal="center"/>
    </xf>
    <xf numFmtId="10" fontId="0" fillId="9" borderId="0" xfId="0" applyNumberFormat="1" applyFill="1" applyAlignment="1">
      <alignment horizontal="center"/>
    </xf>
    <xf numFmtId="10" fontId="0" fillId="10" borderId="0" xfId="0" applyNumberFormat="1" applyFill="1" applyAlignment="1">
      <alignment horizontal="center"/>
    </xf>
    <xf numFmtId="10" fontId="0" fillId="11" borderId="0" xfId="0" applyNumberFormat="1" applyFill="1" applyAlignment="1">
      <alignment horizontal="center"/>
    </xf>
    <xf numFmtId="10" fontId="0" fillId="12" borderId="0" xfId="0" applyNumberFormat="1" applyFill="1" applyAlignment="1">
      <alignment horizontal="center"/>
    </xf>
    <xf numFmtId="10" fontId="0" fillId="13" borderId="0" xfId="0" applyNumberFormat="1" applyFill="1" applyAlignment="1">
      <alignment horizontal="center"/>
    </xf>
    <xf numFmtId="10" fontId="0" fillId="14" borderId="0" xfId="0" applyNumberFormat="1" applyFill="1" applyAlignment="1">
      <alignment horizontal="center"/>
    </xf>
    <xf numFmtId="10" fontId="0" fillId="15" borderId="0" xfId="0" applyNumberFormat="1" applyFill="1" applyAlignment="1">
      <alignment horizontal="center"/>
    </xf>
    <xf numFmtId="10" fontId="0" fillId="16" borderId="0" xfId="0" applyNumberFormat="1" applyFill="1" applyAlignment="1">
      <alignment horizontal="center"/>
    </xf>
    <xf numFmtId="10" fontId="0" fillId="6" borderId="0" xfId="0" applyNumberFormat="1" applyFill="1" applyAlignment="1">
      <alignment horizontal="center"/>
    </xf>
    <xf numFmtId="10" fontId="0" fillId="17" borderId="0" xfId="0" applyNumberFormat="1" applyFill="1" applyAlignment="1">
      <alignment horizontal="center"/>
    </xf>
    <xf numFmtId="10" fontId="0" fillId="18" borderId="0" xfId="0" applyNumberFormat="1" applyFill="1" applyAlignment="1">
      <alignment horizontal="center"/>
    </xf>
    <xf numFmtId="10" fontId="0" fillId="5" borderId="0" xfId="0" applyNumberFormat="1" applyFill="1" applyAlignment="1">
      <alignment horizontal="center"/>
    </xf>
    <xf numFmtId="10" fontId="0" fillId="19" borderId="0" xfId="0" applyNumberFormat="1" applyFill="1" applyAlignment="1">
      <alignment horizontal="center"/>
    </xf>
    <xf numFmtId="10" fontId="0" fillId="20" borderId="0" xfId="0" applyNumberFormat="1" applyFill="1" applyAlignment="1">
      <alignment horizontal="center"/>
    </xf>
    <xf numFmtId="10" fontId="0" fillId="21" borderId="0" xfId="0" applyNumberFormat="1" applyFill="1" applyAlignment="1">
      <alignment horizontal="center"/>
    </xf>
    <xf numFmtId="10" fontId="0" fillId="22" borderId="0" xfId="0" applyNumberFormat="1" applyFill="1" applyAlignment="1">
      <alignment horizontal="center"/>
    </xf>
    <xf numFmtId="10" fontId="0" fillId="23" borderId="0" xfId="0" applyNumberFormat="1" applyFill="1" applyAlignment="1">
      <alignment horizontal="center"/>
    </xf>
    <xf numFmtId="10" fontId="0" fillId="24" borderId="0" xfId="0" applyNumberFormat="1" applyFill="1" applyAlignment="1">
      <alignment horizontal="center"/>
    </xf>
    <xf numFmtId="10" fontId="0" fillId="25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3297-8386-4085-8618-260EE23F2F44}">
  <dimension ref="A1:K1048574"/>
  <sheetViews>
    <sheetView tabSelected="1" zoomScaleNormal="100" workbookViewId="0">
      <selection activeCell="E144" sqref="E144"/>
    </sheetView>
  </sheetViews>
  <sheetFormatPr defaultRowHeight="14.5" x14ac:dyDescent="0.35"/>
  <cols>
    <col min="1" max="1" width="9.1796875" style="2"/>
    <col min="2" max="2" width="33.453125" style="2" customWidth="1"/>
    <col min="3" max="4" width="15.26953125" style="8" customWidth="1"/>
    <col min="5" max="5" width="22" style="8" customWidth="1"/>
    <col min="6" max="6" width="14.54296875" style="6" customWidth="1"/>
    <col min="7" max="7" width="14.54296875" style="3" customWidth="1"/>
    <col min="8" max="8" width="19.54296875" style="3" customWidth="1"/>
    <col min="9" max="9" width="26.90625" style="8" customWidth="1"/>
    <col min="10" max="10" width="13.7265625" style="2" customWidth="1"/>
    <col min="11" max="11" width="10.1796875" bestFit="1" customWidth="1"/>
  </cols>
  <sheetData>
    <row r="1" spans="1:11" x14ac:dyDescent="0.35">
      <c r="A1" s="1" t="s">
        <v>1</v>
      </c>
      <c r="B1" s="4" t="s">
        <v>0</v>
      </c>
      <c r="C1" s="7" t="s">
        <v>3</v>
      </c>
      <c r="D1" s="154" t="s">
        <v>491</v>
      </c>
      <c r="E1" s="7" t="s">
        <v>492</v>
      </c>
      <c r="F1" s="5" t="s">
        <v>2</v>
      </c>
      <c r="G1" s="4" t="s">
        <v>12</v>
      </c>
      <c r="H1" s="4" t="s">
        <v>493</v>
      </c>
      <c r="I1" s="7" t="s">
        <v>504</v>
      </c>
      <c r="J1" s="1" t="s">
        <v>11</v>
      </c>
      <c r="K1" s="9" t="s">
        <v>15</v>
      </c>
    </row>
    <row r="2" spans="1:11" x14ac:dyDescent="0.35">
      <c r="A2" s="11">
        <v>1</v>
      </c>
      <c r="B2" s="12" t="s">
        <v>4</v>
      </c>
      <c r="C2" s="13">
        <v>102.5</v>
      </c>
      <c r="D2" s="153">
        <v>0</v>
      </c>
      <c r="E2" s="13">
        <f>C2*(1-D2)</f>
        <v>102.5</v>
      </c>
      <c r="F2" s="14">
        <v>50</v>
      </c>
      <c r="G2" s="11" t="s">
        <v>13</v>
      </c>
      <c r="H2" s="13">
        <f>C2*F2</f>
        <v>5125</v>
      </c>
      <c r="I2" s="13">
        <f>E2*F2</f>
        <v>5125</v>
      </c>
      <c r="J2" s="12" t="s">
        <v>16</v>
      </c>
      <c r="K2" s="15">
        <v>45922</v>
      </c>
    </row>
    <row r="3" spans="1:11" x14ac:dyDescent="0.35">
      <c r="A3" s="11">
        <v>2</v>
      </c>
      <c r="B3" s="12" t="s">
        <v>5</v>
      </c>
      <c r="C3" s="13">
        <v>145</v>
      </c>
      <c r="D3" s="153">
        <v>0</v>
      </c>
      <c r="E3" s="13">
        <f t="shared" ref="E3:E66" si="0">C3*(1-D3)</f>
        <v>145</v>
      </c>
      <c r="F3" s="14">
        <v>1</v>
      </c>
      <c r="G3" s="11" t="s">
        <v>14</v>
      </c>
      <c r="H3" s="13">
        <f t="shared" ref="H3:H66" si="1">C3*F3</f>
        <v>145</v>
      </c>
      <c r="I3" s="13">
        <f t="shared" ref="I3:I66" si="2">E3*F3</f>
        <v>145</v>
      </c>
      <c r="J3" s="12" t="s">
        <v>16</v>
      </c>
      <c r="K3" s="15">
        <v>45922</v>
      </c>
    </row>
    <row r="4" spans="1:11" x14ac:dyDescent="0.35">
      <c r="A4" s="11">
        <v>3</v>
      </c>
      <c r="B4" s="12" t="s">
        <v>6</v>
      </c>
      <c r="C4" s="13">
        <v>185</v>
      </c>
      <c r="D4" s="153">
        <v>0</v>
      </c>
      <c r="E4" s="13">
        <f t="shared" si="0"/>
        <v>185</v>
      </c>
      <c r="F4" s="14">
        <v>2</v>
      </c>
      <c r="G4" s="11" t="s">
        <v>14</v>
      </c>
      <c r="H4" s="13">
        <f t="shared" si="1"/>
        <v>370</v>
      </c>
      <c r="I4" s="13">
        <f t="shared" si="2"/>
        <v>370</v>
      </c>
      <c r="J4" s="12" t="s">
        <v>16</v>
      </c>
      <c r="K4" s="15">
        <v>45922</v>
      </c>
    </row>
    <row r="5" spans="1:11" x14ac:dyDescent="0.35">
      <c r="A5" s="11">
        <v>4</v>
      </c>
      <c r="B5" s="12" t="s">
        <v>7</v>
      </c>
      <c r="C5" s="13">
        <v>47.5</v>
      </c>
      <c r="D5" s="153">
        <v>0</v>
      </c>
      <c r="E5" s="13">
        <f t="shared" si="0"/>
        <v>47.5</v>
      </c>
      <c r="F5" s="14">
        <v>2</v>
      </c>
      <c r="G5" s="11" t="s">
        <v>14</v>
      </c>
      <c r="H5" s="13">
        <f t="shared" si="1"/>
        <v>95</v>
      </c>
      <c r="I5" s="13">
        <f t="shared" si="2"/>
        <v>95</v>
      </c>
      <c r="J5" s="12" t="s">
        <v>16</v>
      </c>
      <c r="K5" s="15">
        <v>45922</v>
      </c>
    </row>
    <row r="6" spans="1:11" x14ac:dyDescent="0.35">
      <c r="A6" s="11">
        <v>5</v>
      </c>
      <c r="B6" s="12" t="s">
        <v>8</v>
      </c>
      <c r="C6" s="13">
        <v>195</v>
      </c>
      <c r="D6" s="153">
        <v>0</v>
      </c>
      <c r="E6" s="13">
        <f t="shared" si="0"/>
        <v>195</v>
      </c>
      <c r="F6" s="14">
        <v>2</v>
      </c>
      <c r="G6" s="11" t="s">
        <v>14</v>
      </c>
      <c r="H6" s="13">
        <f t="shared" si="1"/>
        <v>390</v>
      </c>
      <c r="I6" s="13">
        <f t="shared" si="2"/>
        <v>390</v>
      </c>
      <c r="J6" s="12" t="s">
        <v>16</v>
      </c>
      <c r="K6" s="15">
        <v>45922</v>
      </c>
    </row>
    <row r="7" spans="1:11" x14ac:dyDescent="0.35">
      <c r="A7" s="11">
        <v>6</v>
      </c>
      <c r="B7" s="12" t="s">
        <v>9</v>
      </c>
      <c r="C7" s="13">
        <v>495</v>
      </c>
      <c r="D7" s="153">
        <v>0</v>
      </c>
      <c r="E7" s="13">
        <f t="shared" si="0"/>
        <v>495</v>
      </c>
      <c r="F7" s="14">
        <v>1</v>
      </c>
      <c r="G7" s="11" t="s">
        <v>14</v>
      </c>
      <c r="H7" s="13">
        <f t="shared" si="1"/>
        <v>495</v>
      </c>
      <c r="I7" s="13">
        <f t="shared" si="2"/>
        <v>495</v>
      </c>
      <c r="J7" s="12" t="s">
        <v>16</v>
      </c>
      <c r="K7" s="15">
        <v>45922</v>
      </c>
    </row>
    <row r="8" spans="1:11" x14ac:dyDescent="0.35">
      <c r="A8" s="11">
        <v>7</v>
      </c>
      <c r="B8" s="12" t="s">
        <v>10</v>
      </c>
      <c r="C8" s="13">
        <v>45</v>
      </c>
      <c r="D8" s="153">
        <v>0</v>
      </c>
      <c r="E8" s="13">
        <f t="shared" si="0"/>
        <v>45</v>
      </c>
      <c r="F8" s="14">
        <v>2</v>
      </c>
      <c r="G8" s="11" t="s">
        <v>14</v>
      </c>
      <c r="H8" s="13">
        <f t="shared" si="1"/>
        <v>90</v>
      </c>
      <c r="I8" s="13">
        <f t="shared" si="2"/>
        <v>90</v>
      </c>
      <c r="J8" s="12" t="s">
        <v>16</v>
      </c>
      <c r="K8" s="15">
        <v>45922</v>
      </c>
    </row>
    <row r="9" spans="1:11" x14ac:dyDescent="0.35">
      <c r="A9" s="16">
        <v>8</v>
      </c>
      <c r="B9" s="17" t="s">
        <v>17</v>
      </c>
      <c r="C9" s="18">
        <v>14.5</v>
      </c>
      <c r="D9" s="155">
        <v>0</v>
      </c>
      <c r="E9" s="18">
        <f t="shared" si="0"/>
        <v>14.5</v>
      </c>
      <c r="F9" s="19">
        <v>69</v>
      </c>
      <c r="G9" s="16" t="s">
        <v>14</v>
      </c>
      <c r="H9" s="18">
        <f t="shared" si="1"/>
        <v>1000.5</v>
      </c>
      <c r="I9" s="18">
        <f t="shared" si="2"/>
        <v>1000.5</v>
      </c>
      <c r="J9" s="17" t="s">
        <v>16</v>
      </c>
      <c r="K9" s="20">
        <v>45926</v>
      </c>
    </row>
    <row r="10" spans="1:11" x14ac:dyDescent="0.35">
      <c r="A10" s="3">
        <v>9</v>
      </c>
      <c r="B10" s="21" t="s">
        <v>18</v>
      </c>
      <c r="C10" s="22">
        <v>52.5</v>
      </c>
      <c r="D10" s="156">
        <v>0</v>
      </c>
      <c r="E10" s="22">
        <f t="shared" si="0"/>
        <v>52.5</v>
      </c>
      <c r="F10" s="23">
        <v>84</v>
      </c>
      <c r="G10" s="24" t="s">
        <v>13</v>
      </c>
      <c r="H10" s="22">
        <f t="shared" si="1"/>
        <v>4410</v>
      </c>
      <c r="I10" s="22">
        <f t="shared" si="2"/>
        <v>4410</v>
      </c>
      <c r="J10" s="21" t="s">
        <v>16</v>
      </c>
      <c r="K10" s="25">
        <v>46007</v>
      </c>
    </row>
    <row r="11" spans="1:11" x14ac:dyDescent="0.35">
      <c r="A11" s="3">
        <v>10</v>
      </c>
      <c r="B11" s="21" t="s">
        <v>19</v>
      </c>
      <c r="C11" s="22">
        <v>22.5</v>
      </c>
      <c r="D11" s="156">
        <v>0</v>
      </c>
      <c r="E11" s="22">
        <f t="shared" si="0"/>
        <v>22.5</v>
      </c>
      <c r="F11" s="23">
        <v>5</v>
      </c>
      <c r="G11" s="24" t="s">
        <v>13</v>
      </c>
      <c r="H11" s="22">
        <f t="shared" si="1"/>
        <v>112.5</v>
      </c>
      <c r="I11" s="22">
        <f t="shared" si="2"/>
        <v>112.5</v>
      </c>
      <c r="J11" s="21" t="s">
        <v>16</v>
      </c>
      <c r="K11" s="25">
        <v>46007</v>
      </c>
    </row>
    <row r="12" spans="1:11" x14ac:dyDescent="0.35">
      <c r="A12" s="3">
        <v>11</v>
      </c>
      <c r="B12" s="21" t="s">
        <v>20</v>
      </c>
      <c r="C12" s="22">
        <v>74</v>
      </c>
      <c r="D12" s="156">
        <v>0</v>
      </c>
      <c r="E12" s="22">
        <f t="shared" si="0"/>
        <v>74</v>
      </c>
      <c r="F12" s="23">
        <v>2</v>
      </c>
      <c r="G12" s="24" t="s">
        <v>14</v>
      </c>
      <c r="H12" s="22">
        <f t="shared" si="1"/>
        <v>148</v>
      </c>
      <c r="I12" s="22">
        <f t="shared" si="2"/>
        <v>148</v>
      </c>
      <c r="J12" s="21" t="s">
        <v>16</v>
      </c>
      <c r="K12" s="25">
        <v>46007</v>
      </c>
    </row>
    <row r="13" spans="1:11" x14ac:dyDescent="0.35">
      <c r="A13" s="3">
        <v>12</v>
      </c>
      <c r="B13" s="21" t="s">
        <v>21</v>
      </c>
      <c r="C13" s="22">
        <v>8.5</v>
      </c>
      <c r="D13" s="156">
        <v>0</v>
      </c>
      <c r="E13" s="22">
        <f t="shared" si="0"/>
        <v>8.5</v>
      </c>
      <c r="F13" s="23">
        <v>12</v>
      </c>
      <c r="G13" s="24" t="s">
        <v>14</v>
      </c>
      <c r="H13" s="22">
        <f t="shared" si="1"/>
        <v>102</v>
      </c>
      <c r="I13" s="22">
        <f t="shared" si="2"/>
        <v>102</v>
      </c>
      <c r="J13" s="21" t="s">
        <v>16</v>
      </c>
      <c r="K13" s="25">
        <v>46007</v>
      </c>
    </row>
    <row r="14" spans="1:11" x14ac:dyDescent="0.35">
      <c r="A14" s="3">
        <v>13</v>
      </c>
      <c r="B14" s="21" t="s">
        <v>22</v>
      </c>
      <c r="C14" s="22">
        <v>22.75</v>
      </c>
      <c r="D14" s="156">
        <v>0</v>
      </c>
      <c r="E14" s="22">
        <f t="shared" si="0"/>
        <v>22.75</v>
      </c>
      <c r="F14" s="23">
        <v>60</v>
      </c>
      <c r="G14" s="24" t="s">
        <v>13</v>
      </c>
      <c r="H14" s="22">
        <f t="shared" si="1"/>
        <v>1365</v>
      </c>
      <c r="I14" s="22">
        <f t="shared" si="2"/>
        <v>1365</v>
      </c>
      <c r="J14" s="21" t="s">
        <v>16</v>
      </c>
      <c r="K14" s="25">
        <v>46007</v>
      </c>
    </row>
    <row r="15" spans="1:11" x14ac:dyDescent="0.35">
      <c r="A15" s="3">
        <v>14</v>
      </c>
      <c r="B15" s="21" t="s">
        <v>23</v>
      </c>
      <c r="C15" s="22">
        <v>89</v>
      </c>
      <c r="D15" s="156">
        <v>0</v>
      </c>
      <c r="E15" s="22">
        <f t="shared" si="0"/>
        <v>89</v>
      </c>
      <c r="F15" s="23">
        <v>15</v>
      </c>
      <c r="G15" s="24" t="s">
        <v>13</v>
      </c>
      <c r="H15" s="22">
        <f t="shared" si="1"/>
        <v>1335</v>
      </c>
      <c r="I15" s="22">
        <f t="shared" si="2"/>
        <v>1335</v>
      </c>
      <c r="J15" s="21" t="s">
        <v>16</v>
      </c>
      <c r="K15" s="25">
        <v>46007</v>
      </c>
    </row>
    <row r="16" spans="1:11" ht="29" x14ac:dyDescent="0.35">
      <c r="A16" s="3">
        <v>15</v>
      </c>
      <c r="B16" s="26" t="s">
        <v>24</v>
      </c>
      <c r="C16" s="22">
        <v>255</v>
      </c>
      <c r="D16" s="156">
        <v>0</v>
      </c>
      <c r="E16" s="22">
        <f t="shared" si="0"/>
        <v>255</v>
      </c>
      <c r="F16" s="23">
        <v>2</v>
      </c>
      <c r="G16" s="24" t="s">
        <v>14</v>
      </c>
      <c r="H16" s="22">
        <f t="shared" si="1"/>
        <v>510</v>
      </c>
      <c r="I16" s="22">
        <f t="shared" si="2"/>
        <v>510</v>
      </c>
      <c r="J16" s="21" t="s">
        <v>16</v>
      </c>
      <c r="K16" s="25">
        <v>46007</v>
      </c>
    </row>
    <row r="17" spans="1:11" x14ac:dyDescent="0.35">
      <c r="A17" s="3">
        <v>16</v>
      </c>
      <c r="B17" s="21" t="s">
        <v>25</v>
      </c>
      <c r="C17" s="22">
        <v>47.5</v>
      </c>
      <c r="D17" s="156">
        <v>0</v>
      </c>
      <c r="E17" s="22">
        <f t="shared" si="0"/>
        <v>47.5</v>
      </c>
      <c r="F17" s="23">
        <v>4</v>
      </c>
      <c r="G17" s="24" t="s">
        <v>14</v>
      </c>
      <c r="H17" s="22">
        <f t="shared" si="1"/>
        <v>190</v>
      </c>
      <c r="I17" s="22">
        <f t="shared" si="2"/>
        <v>190</v>
      </c>
      <c r="J17" s="21" t="s">
        <v>16</v>
      </c>
      <c r="K17" s="25">
        <v>46007</v>
      </c>
    </row>
    <row r="18" spans="1:11" x14ac:dyDescent="0.35">
      <c r="A18" s="3">
        <v>17</v>
      </c>
      <c r="B18" s="21" t="s">
        <v>26</v>
      </c>
      <c r="C18" s="22">
        <v>525</v>
      </c>
      <c r="D18" s="156">
        <v>0</v>
      </c>
      <c r="E18" s="22">
        <f t="shared" si="0"/>
        <v>525</v>
      </c>
      <c r="F18" s="23">
        <v>1</v>
      </c>
      <c r="G18" s="24" t="s">
        <v>14</v>
      </c>
      <c r="H18" s="22">
        <f t="shared" si="1"/>
        <v>525</v>
      </c>
      <c r="I18" s="22">
        <f t="shared" si="2"/>
        <v>525</v>
      </c>
      <c r="J18" s="21" t="s">
        <v>16</v>
      </c>
      <c r="K18" s="25">
        <v>46007</v>
      </c>
    </row>
    <row r="19" spans="1:11" x14ac:dyDescent="0.35">
      <c r="A19" s="3">
        <v>18</v>
      </c>
      <c r="B19" s="21" t="s">
        <v>27</v>
      </c>
      <c r="C19" s="22">
        <v>145</v>
      </c>
      <c r="D19" s="156">
        <v>0</v>
      </c>
      <c r="E19" s="22">
        <f t="shared" si="0"/>
        <v>145</v>
      </c>
      <c r="F19" s="23">
        <v>12</v>
      </c>
      <c r="G19" s="24" t="s">
        <v>14</v>
      </c>
      <c r="H19" s="22">
        <f t="shared" si="1"/>
        <v>1740</v>
      </c>
      <c r="I19" s="22">
        <f t="shared" si="2"/>
        <v>1740</v>
      </c>
      <c r="J19" s="21" t="s">
        <v>16</v>
      </c>
      <c r="K19" s="25">
        <v>46007</v>
      </c>
    </row>
    <row r="20" spans="1:11" x14ac:dyDescent="0.35">
      <c r="A20" s="3">
        <v>19</v>
      </c>
      <c r="B20" s="21" t="s">
        <v>28</v>
      </c>
      <c r="C20" s="22">
        <v>28.5</v>
      </c>
      <c r="D20" s="156">
        <v>0</v>
      </c>
      <c r="E20" s="22">
        <f t="shared" si="0"/>
        <v>28.5</v>
      </c>
      <c r="F20" s="23">
        <v>50</v>
      </c>
      <c r="G20" s="24" t="s">
        <v>14</v>
      </c>
      <c r="H20" s="22">
        <f t="shared" si="1"/>
        <v>1425</v>
      </c>
      <c r="I20" s="22">
        <f t="shared" si="2"/>
        <v>1425</v>
      </c>
      <c r="J20" s="21" t="s">
        <v>16</v>
      </c>
      <c r="K20" s="25">
        <v>46007</v>
      </c>
    </row>
    <row r="21" spans="1:11" x14ac:dyDescent="0.35">
      <c r="A21" s="3">
        <v>20</v>
      </c>
      <c r="B21" s="21" t="s">
        <v>29</v>
      </c>
      <c r="C21" s="22">
        <v>95</v>
      </c>
      <c r="D21" s="156">
        <v>0</v>
      </c>
      <c r="E21" s="22">
        <f t="shared" si="0"/>
        <v>95</v>
      </c>
      <c r="F21" s="23">
        <v>3</v>
      </c>
      <c r="G21" s="24" t="s">
        <v>14</v>
      </c>
      <c r="H21" s="22">
        <f t="shared" si="1"/>
        <v>285</v>
      </c>
      <c r="I21" s="22">
        <f t="shared" si="2"/>
        <v>285</v>
      </c>
      <c r="J21" s="21" t="s">
        <v>16</v>
      </c>
      <c r="K21" s="25">
        <v>46007</v>
      </c>
    </row>
    <row r="22" spans="1:11" x14ac:dyDescent="0.35">
      <c r="A22" s="3">
        <v>21</v>
      </c>
      <c r="B22" s="21" t="s">
        <v>30</v>
      </c>
      <c r="C22" s="22">
        <v>79</v>
      </c>
      <c r="D22" s="156">
        <v>0</v>
      </c>
      <c r="E22" s="22">
        <f t="shared" si="0"/>
        <v>79</v>
      </c>
      <c r="F22" s="23">
        <v>1</v>
      </c>
      <c r="G22" s="24" t="s">
        <v>14</v>
      </c>
      <c r="H22" s="22">
        <f t="shared" si="1"/>
        <v>79</v>
      </c>
      <c r="I22" s="22">
        <f t="shared" si="2"/>
        <v>79</v>
      </c>
      <c r="J22" s="21" t="s">
        <v>16</v>
      </c>
      <c r="K22" s="25">
        <v>46007</v>
      </c>
    </row>
    <row r="23" spans="1:11" x14ac:dyDescent="0.35">
      <c r="A23" s="3">
        <v>22</v>
      </c>
      <c r="B23" s="21" t="s">
        <v>31</v>
      </c>
      <c r="C23" s="22">
        <v>195</v>
      </c>
      <c r="D23" s="156">
        <v>0</v>
      </c>
      <c r="E23" s="22">
        <f t="shared" si="0"/>
        <v>195</v>
      </c>
      <c r="F23" s="23">
        <v>1</v>
      </c>
      <c r="G23" s="24" t="s">
        <v>14</v>
      </c>
      <c r="H23" s="22">
        <f t="shared" si="1"/>
        <v>195</v>
      </c>
      <c r="I23" s="22">
        <f t="shared" si="2"/>
        <v>195</v>
      </c>
      <c r="J23" s="21" t="s">
        <v>16</v>
      </c>
      <c r="K23" s="25">
        <v>46007</v>
      </c>
    </row>
    <row r="24" spans="1:11" x14ac:dyDescent="0.35">
      <c r="A24" s="3">
        <v>23</v>
      </c>
      <c r="B24" s="21" t="s">
        <v>32</v>
      </c>
      <c r="C24" s="22">
        <v>19</v>
      </c>
      <c r="D24" s="156">
        <v>0</v>
      </c>
      <c r="E24" s="22">
        <f t="shared" si="0"/>
        <v>19</v>
      </c>
      <c r="F24" s="23">
        <v>4</v>
      </c>
      <c r="G24" s="24" t="s">
        <v>14</v>
      </c>
      <c r="H24" s="22">
        <f t="shared" si="1"/>
        <v>76</v>
      </c>
      <c r="I24" s="22">
        <f t="shared" si="2"/>
        <v>76</v>
      </c>
      <c r="J24" s="21" t="s">
        <v>16</v>
      </c>
      <c r="K24" s="25">
        <v>46007</v>
      </c>
    </row>
    <row r="25" spans="1:11" x14ac:dyDescent="0.35">
      <c r="A25" s="3">
        <v>24</v>
      </c>
      <c r="B25" s="21" t="s">
        <v>33</v>
      </c>
      <c r="C25" s="22">
        <v>58</v>
      </c>
      <c r="D25" s="156">
        <v>0</v>
      </c>
      <c r="E25" s="22">
        <f t="shared" si="0"/>
        <v>58</v>
      </c>
      <c r="F25" s="23">
        <v>3</v>
      </c>
      <c r="G25" s="24" t="s">
        <v>14</v>
      </c>
      <c r="H25" s="22">
        <f t="shared" si="1"/>
        <v>174</v>
      </c>
      <c r="I25" s="22">
        <f t="shared" si="2"/>
        <v>174</v>
      </c>
      <c r="J25" s="21" t="s">
        <v>16</v>
      </c>
      <c r="K25" s="25">
        <v>46007</v>
      </c>
    </row>
    <row r="26" spans="1:11" x14ac:dyDescent="0.35">
      <c r="A26" s="3">
        <v>25</v>
      </c>
      <c r="B26" s="21" t="s">
        <v>34</v>
      </c>
      <c r="C26" s="22">
        <v>47.5</v>
      </c>
      <c r="D26" s="156">
        <v>0</v>
      </c>
      <c r="E26" s="22">
        <f t="shared" si="0"/>
        <v>47.5</v>
      </c>
      <c r="F26" s="23">
        <v>1</v>
      </c>
      <c r="G26" s="24" t="s">
        <v>14</v>
      </c>
      <c r="H26" s="22">
        <f t="shared" si="1"/>
        <v>47.5</v>
      </c>
      <c r="I26" s="22">
        <f t="shared" si="2"/>
        <v>47.5</v>
      </c>
      <c r="J26" s="21" t="s">
        <v>16</v>
      </c>
      <c r="K26" s="25">
        <v>46007</v>
      </c>
    </row>
    <row r="27" spans="1:11" x14ac:dyDescent="0.35">
      <c r="A27" s="3">
        <v>26</v>
      </c>
      <c r="B27" s="21" t="s">
        <v>35</v>
      </c>
      <c r="C27" s="22">
        <v>67.5</v>
      </c>
      <c r="D27" s="156">
        <v>0</v>
      </c>
      <c r="E27" s="22">
        <f t="shared" si="0"/>
        <v>67.5</v>
      </c>
      <c r="F27" s="23">
        <v>4</v>
      </c>
      <c r="G27" s="24" t="s">
        <v>14</v>
      </c>
      <c r="H27" s="22">
        <f t="shared" si="1"/>
        <v>270</v>
      </c>
      <c r="I27" s="22">
        <f t="shared" si="2"/>
        <v>270</v>
      </c>
      <c r="J27" s="21" t="s">
        <v>16</v>
      </c>
      <c r="K27" s="25">
        <v>46007</v>
      </c>
    </row>
    <row r="28" spans="1:11" ht="45.5" customHeight="1" x14ac:dyDescent="0.35">
      <c r="A28" s="3">
        <v>27</v>
      </c>
      <c r="B28" s="27" t="s">
        <v>36</v>
      </c>
      <c r="C28" s="28">
        <v>250</v>
      </c>
      <c r="D28" s="157">
        <v>0</v>
      </c>
      <c r="E28" s="28">
        <f t="shared" si="0"/>
        <v>250</v>
      </c>
      <c r="F28" s="29">
        <v>2</v>
      </c>
      <c r="G28" s="30" t="s">
        <v>14</v>
      </c>
      <c r="H28" s="28">
        <f t="shared" si="1"/>
        <v>500</v>
      </c>
      <c r="I28" s="28">
        <f t="shared" si="2"/>
        <v>500</v>
      </c>
      <c r="J28" s="27" t="s">
        <v>37</v>
      </c>
      <c r="K28" s="31">
        <v>45874</v>
      </c>
    </row>
    <row r="29" spans="1:11" ht="29" x14ac:dyDescent="0.35">
      <c r="A29" s="3">
        <v>28</v>
      </c>
      <c r="B29" s="36" t="s">
        <v>38</v>
      </c>
      <c r="C29" s="33">
        <v>650</v>
      </c>
      <c r="D29" s="158">
        <v>0</v>
      </c>
      <c r="E29" s="33">
        <f t="shared" si="0"/>
        <v>650</v>
      </c>
      <c r="F29" s="34">
        <v>2</v>
      </c>
      <c r="G29" s="35" t="s">
        <v>14</v>
      </c>
      <c r="H29" s="33">
        <f t="shared" si="1"/>
        <v>1300</v>
      </c>
      <c r="I29" s="33">
        <f t="shared" si="2"/>
        <v>1300</v>
      </c>
      <c r="J29" s="36" t="s">
        <v>37</v>
      </c>
      <c r="K29" s="37">
        <v>45881</v>
      </c>
    </row>
    <row r="30" spans="1:11" ht="29" x14ac:dyDescent="0.35">
      <c r="A30" s="3">
        <v>29</v>
      </c>
      <c r="B30" s="32" t="s">
        <v>39</v>
      </c>
      <c r="C30" s="33">
        <v>80</v>
      </c>
      <c r="D30" s="158">
        <v>0</v>
      </c>
      <c r="E30" s="33">
        <f t="shared" si="0"/>
        <v>80</v>
      </c>
      <c r="F30" s="34">
        <v>1</v>
      </c>
      <c r="G30" s="35" t="s">
        <v>14</v>
      </c>
      <c r="H30" s="33">
        <f t="shared" si="1"/>
        <v>80</v>
      </c>
      <c r="I30" s="33">
        <f t="shared" si="2"/>
        <v>80</v>
      </c>
      <c r="J30" s="36" t="s">
        <v>37</v>
      </c>
      <c r="K30" s="37">
        <v>45881</v>
      </c>
    </row>
    <row r="31" spans="1:11" ht="29" x14ac:dyDescent="0.35">
      <c r="A31" s="3">
        <v>30</v>
      </c>
      <c r="B31" s="32" t="s">
        <v>40</v>
      </c>
      <c r="C31" s="33">
        <v>125</v>
      </c>
      <c r="D31" s="158">
        <v>0</v>
      </c>
      <c r="E31" s="33">
        <f t="shared" si="0"/>
        <v>125</v>
      </c>
      <c r="F31" s="34">
        <v>1</v>
      </c>
      <c r="G31" s="35" t="s">
        <v>14</v>
      </c>
      <c r="H31" s="33">
        <f t="shared" si="1"/>
        <v>125</v>
      </c>
      <c r="I31" s="33">
        <f t="shared" si="2"/>
        <v>125</v>
      </c>
      <c r="J31" s="36" t="s">
        <v>37</v>
      </c>
      <c r="K31" s="37">
        <v>45881</v>
      </c>
    </row>
    <row r="32" spans="1:11" ht="29" x14ac:dyDescent="0.35">
      <c r="A32" s="3">
        <v>31</v>
      </c>
      <c r="B32" s="38" t="s">
        <v>41</v>
      </c>
      <c r="C32" s="39">
        <v>250</v>
      </c>
      <c r="D32" s="159">
        <v>0</v>
      </c>
      <c r="E32" s="39">
        <f t="shared" si="0"/>
        <v>250</v>
      </c>
      <c r="F32" s="40">
        <v>1</v>
      </c>
      <c r="G32" s="41" t="s">
        <v>42</v>
      </c>
      <c r="H32" s="39">
        <f t="shared" si="1"/>
        <v>250</v>
      </c>
      <c r="I32" s="39">
        <f t="shared" si="2"/>
        <v>250</v>
      </c>
      <c r="J32" s="42" t="s">
        <v>37</v>
      </c>
      <c r="K32" s="43">
        <v>45910</v>
      </c>
    </row>
    <row r="33" spans="1:11" ht="29" x14ac:dyDescent="0.35">
      <c r="A33" s="3">
        <v>32</v>
      </c>
      <c r="B33" s="38" t="s">
        <v>43</v>
      </c>
      <c r="C33" s="39">
        <v>280</v>
      </c>
      <c r="D33" s="159">
        <v>0</v>
      </c>
      <c r="E33" s="39">
        <f t="shared" si="0"/>
        <v>280</v>
      </c>
      <c r="F33" s="40">
        <v>1</v>
      </c>
      <c r="G33" s="41" t="s">
        <v>42</v>
      </c>
      <c r="H33" s="39">
        <f t="shared" si="1"/>
        <v>280</v>
      </c>
      <c r="I33" s="39">
        <f t="shared" si="2"/>
        <v>280</v>
      </c>
      <c r="J33" s="42" t="s">
        <v>37</v>
      </c>
      <c r="K33" s="43">
        <v>45910</v>
      </c>
    </row>
    <row r="34" spans="1:11" ht="29" x14ac:dyDescent="0.35">
      <c r="A34" s="3">
        <v>33</v>
      </c>
      <c r="B34" s="42" t="s">
        <v>45</v>
      </c>
      <c r="C34" s="39">
        <v>15</v>
      </c>
      <c r="D34" s="159">
        <v>0</v>
      </c>
      <c r="E34" s="39">
        <f t="shared" si="0"/>
        <v>15</v>
      </c>
      <c r="F34" s="40">
        <v>40</v>
      </c>
      <c r="G34" s="41" t="s">
        <v>14</v>
      </c>
      <c r="H34" s="39">
        <f t="shared" si="1"/>
        <v>600</v>
      </c>
      <c r="I34" s="39">
        <f t="shared" si="2"/>
        <v>600</v>
      </c>
      <c r="J34" s="42" t="s">
        <v>37</v>
      </c>
      <c r="K34" s="43">
        <v>45910</v>
      </c>
    </row>
    <row r="35" spans="1:11" ht="29" x14ac:dyDescent="0.35">
      <c r="A35" s="3">
        <v>34</v>
      </c>
      <c r="B35" s="42" t="s">
        <v>44</v>
      </c>
      <c r="C35" s="39">
        <v>15</v>
      </c>
      <c r="D35" s="159">
        <v>0</v>
      </c>
      <c r="E35" s="39">
        <f t="shared" si="0"/>
        <v>15</v>
      </c>
      <c r="F35" s="40">
        <v>40</v>
      </c>
      <c r="G35" s="41" t="s">
        <v>14</v>
      </c>
      <c r="H35" s="39">
        <f t="shared" si="1"/>
        <v>600</v>
      </c>
      <c r="I35" s="39">
        <f t="shared" si="2"/>
        <v>600</v>
      </c>
      <c r="J35" s="42" t="s">
        <v>37</v>
      </c>
      <c r="K35" s="43">
        <v>45910</v>
      </c>
    </row>
    <row r="36" spans="1:11" ht="27" customHeight="1" x14ac:dyDescent="0.35">
      <c r="A36" s="3">
        <v>35</v>
      </c>
      <c r="B36" s="44" t="s">
        <v>48</v>
      </c>
      <c r="C36" s="45">
        <v>615</v>
      </c>
      <c r="D36" s="160">
        <v>0</v>
      </c>
      <c r="E36" s="45">
        <f t="shared" si="0"/>
        <v>615</v>
      </c>
      <c r="F36" s="46">
        <v>1</v>
      </c>
      <c r="G36" s="47" t="s">
        <v>14</v>
      </c>
      <c r="H36" s="45">
        <f t="shared" si="1"/>
        <v>615</v>
      </c>
      <c r="I36" s="45">
        <f t="shared" si="2"/>
        <v>615</v>
      </c>
      <c r="J36" s="44" t="s">
        <v>37</v>
      </c>
      <c r="K36" s="48">
        <v>45922</v>
      </c>
    </row>
    <row r="37" spans="1:11" ht="30.5" customHeight="1" x14ac:dyDescent="0.35">
      <c r="A37" s="3">
        <v>36</v>
      </c>
      <c r="B37" s="44" t="s">
        <v>46</v>
      </c>
      <c r="C37" s="45">
        <v>150</v>
      </c>
      <c r="D37" s="160">
        <v>0</v>
      </c>
      <c r="E37" s="45">
        <f t="shared" si="0"/>
        <v>150</v>
      </c>
      <c r="F37" s="46">
        <v>2</v>
      </c>
      <c r="G37" s="47" t="s">
        <v>14</v>
      </c>
      <c r="H37" s="45">
        <f t="shared" si="1"/>
        <v>300</v>
      </c>
      <c r="I37" s="45">
        <f t="shared" si="2"/>
        <v>300</v>
      </c>
      <c r="J37" s="44" t="s">
        <v>37</v>
      </c>
      <c r="K37" s="48">
        <v>45922</v>
      </c>
    </row>
    <row r="38" spans="1:11" ht="39.5" customHeight="1" x14ac:dyDescent="0.35">
      <c r="A38" s="3">
        <v>37</v>
      </c>
      <c r="B38" s="44" t="s">
        <v>47</v>
      </c>
      <c r="C38" s="45">
        <v>300</v>
      </c>
      <c r="D38" s="160">
        <v>0</v>
      </c>
      <c r="E38" s="45">
        <f t="shared" si="0"/>
        <v>300</v>
      </c>
      <c r="F38" s="46">
        <v>1</v>
      </c>
      <c r="G38" s="47" t="s">
        <v>14</v>
      </c>
      <c r="H38" s="45">
        <f t="shared" si="1"/>
        <v>300</v>
      </c>
      <c r="I38" s="45">
        <f t="shared" si="2"/>
        <v>300</v>
      </c>
      <c r="J38" s="44" t="s">
        <v>37</v>
      </c>
      <c r="K38" s="48">
        <v>45922</v>
      </c>
    </row>
    <row r="39" spans="1:11" ht="29" x14ac:dyDescent="0.35">
      <c r="A39" s="3">
        <v>38</v>
      </c>
      <c r="B39" s="49" t="s">
        <v>49</v>
      </c>
      <c r="C39" s="50">
        <v>572.4</v>
      </c>
      <c r="D39" s="161">
        <v>0</v>
      </c>
      <c r="E39" s="50">
        <f t="shared" si="0"/>
        <v>572.4</v>
      </c>
      <c r="F39" s="51">
        <v>1</v>
      </c>
      <c r="G39" s="52" t="s">
        <v>13</v>
      </c>
      <c r="H39" s="50">
        <f t="shared" si="1"/>
        <v>572.4</v>
      </c>
      <c r="I39" s="50">
        <f t="shared" si="2"/>
        <v>572.4</v>
      </c>
      <c r="J39" s="49" t="s">
        <v>37</v>
      </c>
      <c r="K39" s="53">
        <v>45923</v>
      </c>
    </row>
    <row r="40" spans="1:11" ht="29" x14ac:dyDescent="0.35">
      <c r="A40" s="3">
        <v>39</v>
      </c>
      <c r="B40" s="54" t="s">
        <v>50</v>
      </c>
      <c r="C40" s="28">
        <v>245</v>
      </c>
      <c r="D40" s="157">
        <v>0</v>
      </c>
      <c r="E40" s="28">
        <f t="shared" si="0"/>
        <v>245</v>
      </c>
      <c r="F40" s="29">
        <v>15</v>
      </c>
      <c r="G40" s="30" t="s">
        <v>14</v>
      </c>
      <c r="H40" s="28">
        <f t="shared" si="1"/>
        <v>3675</v>
      </c>
      <c r="I40" s="28">
        <f t="shared" si="2"/>
        <v>3675</v>
      </c>
      <c r="J40" s="27" t="s">
        <v>37</v>
      </c>
      <c r="K40" s="31">
        <v>45929</v>
      </c>
    </row>
    <row r="41" spans="1:11" x14ac:dyDescent="0.35">
      <c r="A41" s="3">
        <v>40</v>
      </c>
      <c r="B41" s="55" t="s">
        <v>51</v>
      </c>
      <c r="C41" s="56">
        <v>2.25</v>
      </c>
      <c r="D41" s="162">
        <v>0</v>
      </c>
      <c r="E41" s="56">
        <f t="shared" si="0"/>
        <v>2.25</v>
      </c>
      <c r="F41" s="57">
        <v>100</v>
      </c>
      <c r="G41" s="58" t="s">
        <v>14</v>
      </c>
      <c r="H41" s="56">
        <f t="shared" si="1"/>
        <v>225</v>
      </c>
      <c r="I41" s="56">
        <f t="shared" si="2"/>
        <v>225</v>
      </c>
      <c r="J41" s="55" t="s">
        <v>52</v>
      </c>
      <c r="K41" s="59">
        <v>45911</v>
      </c>
    </row>
    <row r="42" spans="1:11" ht="29" x14ac:dyDescent="0.35">
      <c r="A42" s="3">
        <v>41</v>
      </c>
      <c r="B42" s="60" t="s">
        <v>53</v>
      </c>
      <c r="C42" s="56">
        <v>250</v>
      </c>
      <c r="D42" s="162">
        <v>0</v>
      </c>
      <c r="E42" s="56">
        <f t="shared" si="0"/>
        <v>250</v>
      </c>
      <c r="F42" s="57">
        <v>1</v>
      </c>
      <c r="G42" s="58" t="s">
        <v>14</v>
      </c>
      <c r="H42" s="56">
        <f t="shared" si="1"/>
        <v>250</v>
      </c>
      <c r="I42" s="56">
        <f t="shared" si="2"/>
        <v>250</v>
      </c>
      <c r="J42" s="55" t="s">
        <v>52</v>
      </c>
      <c r="K42" s="59">
        <v>45911</v>
      </c>
    </row>
    <row r="43" spans="1:11" x14ac:dyDescent="0.35">
      <c r="A43" s="3">
        <v>42</v>
      </c>
      <c r="B43" s="55" t="s">
        <v>54</v>
      </c>
      <c r="C43" s="56">
        <v>10</v>
      </c>
      <c r="D43" s="162">
        <v>0</v>
      </c>
      <c r="E43" s="56">
        <f t="shared" si="0"/>
        <v>10</v>
      </c>
      <c r="F43" s="57">
        <v>10</v>
      </c>
      <c r="G43" s="58" t="s">
        <v>14</v>
      </c>
      <c r="H43" s="56">
        <f t="shared" si="1"/>
        <v>100</v>
      </c>
      <c r="I43" s="56">
        <f t="shared" si="2"/>
        <v>100</v>
      </c>
      <c r="J43" s="55" t="s">
        <v>52</v>
      </c>
      <c r="K43" s="59">
        <v>45911</v>
      </c>
    </row>
    <row r="44" spans="1:11" x14ac:dyDescent="0.35">
      <c r="A44" s="3">
        <v>43</v>
      </c>
      <c r="B44" s="55" t="s">
        <v>55</v>
      </c>
      <c r="C44" s="56">
        <v>7.5</v>
      </c>
      <c r="D44" s="162">
        <v>0</v>
      </c>
      <c r="E44" s="56">
        <f t="shared" si="0"/>
        <v>7.5</v>
      </c>
      <c r="F44" s="57">
        <v>25</v>
      </c>
      <c r="G44" s="58" t="s">
        <v>14</v>
      </c>
      <c r="H44" s="56">
        <f t="shared" si="1"/>
        <v>187.5</v>
      </c>
      <c r="I44" s="56">
        <f t="shared" si="2"/>
        <v>187.5</v>
      </c>
      <c r="J44" s="55" t="s">
        <v>52</v>
      </c>
      <c r="K44" s="59">
        <v>45911</v>
      </c>
    </row>
    <row r="45" spans="1:11" x14ac:dyDescent="0.35">
      <c r="A45" s="3">
        <v>44</v>
      </c>
      <c r="B45" s="55" t="s">
        <v>56</v>
      </c>
      <c r="C45" s="56">
        <v>5</v>
      </c>
      <c r="D45" s="162">
        <v>0</v>
      </c>
      <c r="E45" s="56">
        <f t="shared" si="0"/>
        <v>5</v>
      </c>
      <c r="F45" s="57">
        <v>10</v>
      </c>
      <c r="G45" s="58" t="s">
        <v>14</v>
      </c>
      <c r="H45" s="56">
        <f t="shared" si="1"/>
        <v>50</v>
      </c>
      <c r="I45" s="56">
        <f t="shared" si="2"/>
        <v>50</v>
      </c>
      <c r="J45" s="55" t="s">
        <v>52</v>
      </c>
      <c r="K45" s="59">
        <v>45911</v>
      </c>
    </row>
    <row r="46" spans="1:11" x14ac:dyDescent="0.35">
      <c r="A46" s="3">
        <v>45</v>
      </c>
      <c r="B46" s="55" t="s">
        <v>57</v>
      </c>
      <c r="C46" s="56">
        <v>0.8</v>
      </c>
      <c r="D46" s="162">
        <v>0</v>
      </c>
      <c r="E46" s="56">
        <f t="shared" si="0"/>
        <v>0.8</v>
      </c>
      <c r="F46" s="57">
        <v>100</v>
      </c>
      <c r="G46" s="58" t="s">
        <v>14</v>
      </c>
      <c r="H46" s="56">
        <f t="shared" si="1"/>
        <v>80</v>
      </c>
      <c r="I46" s="56">
        <f t="shared" si="2"/>
        <v>80</v>
      </c>
      <c r="J46" s="55" t="s">
        <v>52</v>
      </c>
      <c r="K46" s="59">
        <v>45911</v>
      </c>
    </row>
    <row r="47" spans="1:11" x14ac:dyDescent="0.35">
      <c r="A47" s="3">
        <v>46</v>
      </c>
      <c r="B47" s="55" t="s">
        <v>58</v>
      </c>
      <c r="C47" s="56">
        <v>1.5</v>
      </c>
      <c r="D47" s="162">
        <v>0</v>
      </c>
      <c r="E47" s="56">
        <f t="shared" si="0"/>
        <v>1.5</v>
      </c>
      <c r="F47" s="57">
        <v>250</v>
      </c>
      <c r="G47" s="58" t="s">
        <v>14</v>
      </c>
      <c r="H47" s="56">
        <f t="shared" si="1"/>
        <v>375</v>
      </c>
      <c r="I47" s="56">
        <f t="shared" si="2"/>
        <v>375</v>
      </c>
      <c r="J47" s="55" t="s">
        <v>52</v>
      </c>
      <c r="K47" s="59">
        <v>45911</v>
      </c>
    </row>
    <row r="48" spans="1:11" x14ac:dyDescent="0.35">
      <c r="A48" s="3">
        <v>47</v>
      </c>
      <c r="B48" s="61" t="s">
        <v>59</v>
      </c>
      <c r="C48" s="50">
        <v>3818.5</v>
      </c>
      <c r="D48" s="161">
        <v>0.35</v>
      </c>
      <c r="E48" s="50">
        <f t="shared" si="0"/>
        <v>2482.0250000000001</v>
      </c>
      <c r="F48" s="51">
        <v>1</v>
      </c>
      <c r="G48" s="52" t="s">
        <v>60</v>
      </c>
      <c r="H48" s="50">
        <f t="shared" si="1"/>
        <v>3818.5</v>
      </c>
      <c r="I48" s="50">
        <f t="shared" si="2"/>
        <v>2482.0250000000001</v>
      </c>
      <c r="J48" s="61" t="s">
        <v>52</v>
      </c>
      <c r="K48" s="53">
        <v>45945</v>
      </c>
    </row>
    <row r="49" spans="1:11" x14ac:dyDescent="0.35">
      <c r="A49" s="3">
        <v>48</v>
      </c>
      <c r="B49" s="61" t="s">
        <v>61</v>
      </c>
      <c r="C49" s="50">
        <v>296.55</v>
      </c>
      <c r="D49" s="161">
        <v>0</v>
      </c>
      <c r="E49" s="50">
        <f t="shared" si="0"/>
        <v>296.55</v>
      </c>
      <c r="F49" s="51">
        <v>1</v>
      </c>
      <c r="G49" s="52" t="s">
        <v>14</v>
      </c>
      <c r="H49" s="50">
        <f t="shared" si="1"/>
        <v>296.55</v>
      </c>
      <c r="I49" s="50">
        <f t="shared" si="2"/>
        <v>296.55</v>
      </c>
      <c r="J49" s="61" t="s">
        <v>52</v>
      </c>
      <c r="K49" s="53">
        <v>45945</v>
      </c>
    </row>
    <row r="50" spans="1:11" x14ac:dyDescent="0.35">
      <c r="A50" s="3">
        <v>49</v>
      </c>
      <c r="B50" s="61" t="s">
        <v>62</v>
      </c>
      <c r="C50" s="50">
        <v>180.1</v>
      </c>
      <c r="D50" s="161">
        <v>0</v>
      </c>
      <c r="E50" s="50">
        <f t="shared" si="0"/>
        <v>180.1</v>
      </c>
      <c r="F50" s="51">
        <v>1</v>
      </c>
      <c r="G50" s="52" t="s">
        <v>14</v>
      </c>
      <c r="H50" s="50">
        <f t="shared" si="1"/>
        <v>180.1</v>
      </c>
      <c r="I50" s="50">
        <f t="shared" si="2"/>
        <v>180.1</v>
      </c>
      <c r="J50" s="61" t="s">
        <v>52</v>
      </c>
      <c r="K50" s="53">
        <v>45945</v>
      </c>
    </row>
    <row r="51" spans="1:11" x14ac:dyDescent="0.35">
      <c r="A51" s="3">
        <v>50</v>
      </c>
      <c r="B51" s="61" t="s">
        <v>63</v>
      </c>
      <c r="C51" s="50">
        <v>187.25</v>
      </c>
      <c r="D51" s="161">
        <v>0.3</v>
      </c>
      <c r="E51" s="50">
        <f t="shared" si="0"/>
        <v>131.07499999999999</v>
      </c>
      <c r="F51" s="51">
        <v>1</v>
      </c>
      <c r="G51" s="52" t="s">
        <v>14</v>
      </c>
      <c r="H51" s="50">
        <f t="shared" si="1"/>
        <v>187.25</v>
      </c>
      <c r="I51" s="50">
        <f t="shared" si="2"/>
        <v>131.07499999999999</v>
      </c>
      <c r="J51" s="61" t="s">
        <v>52</v>
      </c>
      <c r="K51" s="53">
        <v>45945</v>
      </c>
    </row>
    <row r="52" spans="1:11" x14ac:dyDescent="0.35">
      <c r="A52" s="3">
        <v>51</v>
      </c>
      <c r="B52" s="61" t="s">
        <v>64</v>
      </c>
      <c r="C52" s="50">
        <v>235.25</v>
      </c>
      <c r="D52" s="161">
        <v>0.3</v>
      </c>
      <c r="E52" s="50">
        <f t="shared" si="0"/>
        <v>164.67499999999998</v>
      </c>
      <c r="F52" s="51">
        <v>1</v>
      </c>
      <c r="G52" s="52" t="s">
        <v>14</v>
      </c>
      <c r="H52" s="50">
        <f t="shared" si="1"/>
        <v>235.25</v>
      </c>
      <c r="I52" s="50">
        <f t="shared" si="2"/>
        <v>164.67499999999998</v>
      </c>
      <c r="J52" s="61" t="s">
        <v>52</v>
      </c>
      <c r="K52" s="53">
        <v>45945</v>
      </c>
    </row>
    <row r="53" spans="1:11" x14ac:dyDescent="0.35">
      <c r="A53" s="3">
        <v>52</v>
      </c>
      <c r="B53" s="61" t="s">
        <v>65</v>
      </c>
      <c r="C53" s="50">
        <v>104.5</v>
      </c>
      <c r="D53" s="161">
        <v>0.3</v>
      </c>
      <c r="E53" s="50">
        <f t="shared" si="0"/>
        <v>73.149999999999991</v>
      </c>
      <c r="F53" s="51">
        <v>1</v>
      </c>
      <c r="G53" s="52" t="s">
        <v>14</v>
      </c>
      <c r="H53" s="50">
        <f t="shared" si="1"/>
        <v>104.5</v>
      </c>
      <c r="I53" s="50">
        <f t="shared" si="2"/>
        <v>73.149999999999991</v>
      </c>
      <c r="J53" s="61" t="s">
        <v>52</v>
      </c>
      <c r="K53" s="53">
        <v>45945</v>
      </c>
    </row>
    <row r="54" spans="1:11" x14ac:dyDescent="0.35">
      <c r="A54" s="3">
        <v>53</v>
      </c>
      <c r="B54" s="61" t="s">
        <v>66</v>
      </c>
      <c r="C54" s="50">
        <v>123.75</v>
      </c>
      <c r="D54" s="161">
        <v>0.3</v>
      </c>
      <c r="E54" s="50">
        <f t="shared" si="0"/>
        <v>86.625</v>
      </c>
      <c r="F54" s="51">
        <v>1</v>
      </c>
      <c r="G54" s="52" t="s">
        <v>14</v>
      </c>
      <c r="H54" s="50">
        <f t="shared" si="1"/>
        <v>123.75</v>
      </c>
      <c r="I54" s="50">
        <f t="shared" si="2"/>
        <v>86.625</v>
      </c>
      <c r="J54" s="61" t="s">
        <v>52</v>
      </c>
      <c r="K54" s="53">
        <v>45945</v>
      </c>
    </row>
    <row r="55" spans="1:11" x14ac:dyDescent="0.35">
      <c r="A55" s="3">
        <v>54</v>
      </c>
      <c r="B55" s="61" t="s">
        <v>67</v>
      </c>
      <c r="C55" s="50">
        <v>713</v>
      </c>
      <c r="D55" s="161">
        <v>0.35</v>
      </c>
      <c r="E55" s="50">
        <f t="shared" si="0"/>
        <v>463.45</v>
      </c>
      <c r="F55" s="51">
        <v>2</v>
      </c>
      <c r="G55" s="52" t="s">
        <v>14</v>
      </c>
      <c r="H55" s="50">
        <f t="shared" si="1"/>
        <v>1426</v>
      </c>
      <c r="I55" s="50">
        <f t="shared" si="2"/>
        <v>926.9</v>
      </c>
      <c r="J55" s="61" t="s">
        <v>52</v>
      </c>
      <c r="K55" s="53">
        <v>45945</v>
      </c>
    </row>
    <row r="56" spans="1:11" x14ac:dyDescent="0.35">
      <c r="A56" s="3">
        <v>55</v>
      </c>
      <c r="B56" s="61" t="s">
        <v>68</v>
      </c>
      <c r="C56" s="50">
        <v>611</v>
      </c>
      <c r="D56" s="161">
        <v>0.35</v>
      </c>
      <c r="E56" s="50">
        <f t="shared" si="0"/>
        <v>397.15000000000003</v>
      </c>
      <c r="F56" s="51">
        <v>2</v>
      </c>
      <c r="G56" s="52" t="s">
        <v>14</v>
      </c>
      <c r="H56" s="50">
        <f t="shared" si="1"/>
        <v>1222</v>
      </c>
      <c r="I56" s="50">
        <f t="shared" si="2"/>
        <v>794.30000000000007</v>
      </c>
      <c r="J56" s="61" t="s">
        <v>52</v>
      </c>
      <c r="K56" s="53">
        <v>45945</v>
      </c>
    </row>
    <row r="57" spans="1:11" x14ac:dyDescent="0.35">
      <c r="A57" s="3">
        <v>56</v>
      </c>
      <c r="B57" s="61" t="s">
        <v>69</v>
      </c>
      <c r="C57" s="50">
        <v>944.5</v>
      </c>
      <c r="D57" s="161">
        <v>0.35</v>
      </c>
      <c r="E57" s="50">
        <f t="shared" si="0"/>
        <v>613.92500000000007</v>
      </c>
      <c r="F57" s="51">
        <v>2</v>
      </c>
      <c r="G57" s="52" t="s">
        <v>14</v>
      </c>
      <c r="H57" s="50">
        <f t="shared" si="1"/>
        <v>1889</v>
      </c>
      <c r="I57" s="50">
        <f t="shared" si="2"/>
        <v>1227.8500000000001</v>
      </c>
      <c r="J57" s="61" t="s">
        <v>52</v>
      </c>
      <c r="K57" s="53">
        <v>45945</v>
      </c>
    </row>
    <row r="58" spans="1:11" x14ac:dyDescent="0.35">
      <c r="A58" s="3">
        <v>57</v>
      </c>
      <c r="B58" s="61" t="s">
        <v>70</v>
      </c>
      <c r="C58" s="50">
        <v>1087.25</v>
      </c>
      <c r="D58" s="161">
        <v>0.35</v>
      </c>
      <c r="E58" s="50">
        <f t="shared" si="0"/>
        <v>706.71249999999998</v>
      </c>
      <c r="F58" s="51">
        <v>2</v>
      </c>
      <c r="G58" s="52" t="s">
        <v>14</v>
      </c>
      <c r="H58" s="50">
        <f t="shared" si="1"/>
        <v>2174.5</v>
      </c>
      <c r="I58" s="50">
        <f t="shared" si="2"/>
        <v>1413.425</v>
      </c>
      <c r="J58" s="61" t="s">
        <v>52</v>
      </c>
      <c r="K58" s="53">
        <v>45945</v>
      </c>
    </row>
    <row r="59" spans="1:11" x14ac:dyDescent="0.35">
      <c r="A59" s="3">
        <v>58</v>
      </c>
      <c r="B59" s="61" t="s">
        <v>71</v>
      </c>
      <c r="C59" s="50">
        <v>1229</v>
      </c>
      <c r="D59" s="161">
        <v>0.35</v>
      </c>
      <c r="E59" s="50">
        <f t="shared" si="0"/>
        <v>798.85</v>
      </c>
      <c r="F59" s="51">
        <v>1</v>
      </c>
      <c r="G59" s="52" t="s">
        <v>14</v>
      </c>
      <c r="H59" s="50">
        <f t="shared" si="1"/>
        <v>1229</v>
      </c>
      <c r="I59" s="50">
        <f t="shared" si="2"/>
        <v>798.85</v>
      </c>
      <c r="J59" s="61" t="s">
        <v>52</v>
      </c>
      <c r="K59" s="53">
        <v>45945</v>
      </c>
    </row>
    <row r="60" spans="1:11" ht="29" x14ac:dyDescent="0.35">
      <c r="A60" s="3">
        <v>59</v>
      </c>
      <c r="B60" s="49" t="s">
        <v>72</v>
      </c>
      <c r="C60" s="50">
        <v>451</v>
      </c>
      <c r="D60" s="161">
        <v>0.3</v>
      </c>
      <c r="E60" s="50">
        <f t="shared" si="0"/>
        <v>315.7</v>
      </c>
      <c r="F60" s="51">
        <v>1</v>
      </c>
      <c r="G60" s="52" t="s">
        <v>14</v>
      </c>
      <c r="H60" s="50">
        <f t="shared" si="1"/>
        <v>451</v>
      </c>
      <c r="I60" s="50">
        <f t="shared" si="2"/>
        <v>315.7</v>
      </c>
      <c r="J60" s="61" t="s">
        <v>52</v>
      </c>
      <c r="K60" s="53">
        <v>45945</v>
      </c>
    </row>
    <row r="61" spans="1:11" x14ac:dyDescent="0.35">
      <c r="A61" s="3">
        <v>60</v>
      </c>
      <c r="B61" s="61" t="s">
        <v>73</v>
      </c>
      <c r="C61" s="50">
        <v>176.5</v>
      </c>
      <c r="D61" s="161">
        <v>0.35</v>
      </c>
      <c r="E61" s="50">
        <f t="shared" si="0"/>
        <v>114.72500000000001</v>
      </c>
      <c r="F61" s="51">
        <v>1</v>
      </c>
      <c r="G61" s="52" t="s">
        <v>14</v>
      </c>
      <c r="H61" s="50">
        <f t="shared" si="1"/>
        <v>176.5</v>
      </c>
      <c r="I61" s="50">
        <f t="shared" si="2"/>
        <v>114.72500000000001</v>
      </c>
      <c r="J61" s="61" t="s">
        <v>52</v>
      </c>
      <c r="K61" s="53">
        <v>45945</v>
      </c>
    </row>
    <row r="62" spans="1:11" x14ac:dyDescent="0.35">
      <c r="A62" s="3">
        <v>61</v>
      </c>
      <c r="B62" s="61" t="s">
        <v>74</v>
      </c>
      <c r="C62" s="50">
        <v>74</v>
      </c>
      <c r="D62" s="161">
        <v>0.3</v>
      </c>
      <c r="E62" s="50">
        <f t="shared" si="0"/>
        <v>51.8</v>
      </c>
      <c r="F62" s="51">
        <v>1</v>
      </c>
      <c r="G62" s="52" t="s">
        <v>14</v>
      </c>
      <c r="H62" s="50">
        <f t="shared" si="1"/>
        <v>74</v>
      </c>
      <c r="I62" s="50">
        <f t="shared" si="2"/>
        <v>51.8</v>
      </c>
      <c r="J62" s="61" t="s">
        <v>52</v>
      </c>
      <c r="K62" s="53">
        <v>45945</v>
      </c>
    </row>
    <row r="63" spans="1:11" x14ac:dyDescent="0.35">
      <c r="A63" s="3">
        <v>62</v>
      </c>
      <c r="B63" s="61" t="s">
        <v>75</v>
      </c>
      <c r="C63" s="50">
        <v>87</v>
      </c>
      <c r="D63" s="161">
        <v>0</v>
      </c>
      <c r="E63" s="50">
        <f t="shared" si="0"/>
        <v>87</v>
      </c>
      <c r="F63" s="51">
        <v>2</v>
      </c>
      <c r="G63" s="52" t="s">
        <v>14</v>
      </c>
      <c r="H63" s="50">
        <f t="shared" si="1"/>
        <v>174</v>
      </c>
      <c r="I63" s="50">
        <f t="shared" si="2"/>
        <v>174</v>
      </c>
      <c r="J63" s="61" t="s">
        <v>52</v>
      </c>
      <c r="K63" s="53">
        <v>45945</v>
      </c>
    </row>
    <row r="64" spans="1:11" x14ac:dyDescent="0.35">
      <c r="A64" s="3">
        <v>63</v>
      </c>
      <c r="B64" s="61" t="s">
        <v>76</v>
      </c>
      <c r="C64" s="50">
        <v>1250</v>
      </c>
      <c r="D64" s="161">
        <v>0</v>
      </c>
      <c r="E64" s="50">
        <f t="shared" si="0"/>
        <v>1250</v>
      </c>
      <c r="F64" s="51">
        <v>1</v>
      </c>
      <c r="G64" s="52" t="s">
        <v>14</v>
      </c>
      <c r="H64" s="50">
        <f t="shared" si="1"/>
        <v>1250</v>
      </c>
      <c r="I64" s="50">
        <f t="shared" si="2"/>
        <v>1250</v>
      </c>
      <c r="J64" s="61" t="s">
        <v>52</v>
      </c>
      <c r="K64" s="53">
        <v>45945</v>
      </c>
    </row>
    <row r="65" spans="1:11" x14ac:dyDescent="0.35">
      <c r="A65" s="3">
        <v>64</v>
      </c>
      <c r="B65" s="61" t="s">
        <v>77</v>
      </c>
      <c r="C65" s="50">
        <v>1000</v>
      </c>
      <c r="D65" s="161">
        <v>0</v>
      </c>
      <c r="E65" s="50">
        <f t="shared" si="0"/>
        <v>1000</v>
      </c>
      <c r="F65" s="51">
        <v>1</v>
      </c>
      <c r="G65" s="52" t="s">
        <v>14</v>
      </c>
      <c r="H65" s="50">
        <f t="shared" si="1"/>
        <v>1000</v>
      </c>
      <c r="I65" s="50">
        <f t="shared" si="2"/>
        <v>1000</v>
      </c>
      <c r="J65" s="61" t="s">
        <v>52</v>
      </c>
      <c r="K65" s="53">
        <v>45945</v>
      </c>
    </row>
    <row r="66" spans="1:11" ht="43.5" x14ac:dyDescent="0.35">
      <c r="A66" s="3">
        <v>65</v>
      </c>
      <c r="B66" s="49" t="s">
        <v>78</v>
      </c>
      <c r="C66" s="50">
        <v>255.75</v>
      </c>
      <c r="D66" s="161">
        <v>0.35</v>
      </c>
      <c r="E66" s="50">
        <f t="shared" si="0"/>
        <v>166.23750000000001</v>
      </c>
      <c r="F66" s="51">
        <v>1</v>
      </c>
      <c r="G66" s="52" t="s">
        <v>14</v>
      </c>
      <c r="H66" s="50">
        <f t="shared" si="1"/>
        <v>255.75</v>
      </c>
      <c r="I66" s="50">
        <f t="shared" si="2"/>
        <v>166.23750000000001</v>
      </c>
      <c r="J66" s="61" t="s">
        <v>52</v>
      </c>
      <c r="K66" s="53">
        <v>45945</v>
      </c>
    </row>
    <row r="67" spans="1:11" ht="43.5" x14ac:dyDescent="0.35">
      <c r="A67" s="3">
        <v>66</v>
      </c>
      <c r="B67" s="49" t="s">
        <v>79</v>
      </c>
      <c r="C67" s="50">
        <v>218.5</v>
      </c>
      <c r="D67" s="161">
        <v>0.35</v>
      </c>
      <c r="E67" s="50">
        <f t="shared" ref="E67:E130" si="3">C67*(1-D67)</f>
        <v>142.02500000000001</v>
      </c>
      <c r="F67" s="51">
        <v>1</v>
      </c>
      <c r="G67" s="52" t="s">
        <v>14</v>
      </c>
      <c r="H67" s="50">
        <f t="shared" ref="H67:H130" si="4">C67*F67</f>
        <v>218.5</v>
      </c>
      <c r="I67" s="50">
        <f t="shared" ref="I67:I130" si="5">E67*F67</f>
        <v>142.02500000000001</v>
      </c>
      <c r="J67" s="61" t="s">
        <v>52</v>
      </c>
      <c r="K67" s="53">
        <v>45945</v>
      </c>
    </row>
    <row r="68" spans="1:11" ht="43.5" x14ac:dyDescent="0.35">
      <c r="A68" s="3">
        <v>67</v>
      </c>
      <c r="B68" s="49" t="s">
        <v>81</v>
      </c>
      <c r="C68" s="50">
        <v>174</v>
      </c>
      <c r="D68" s="161">
        <v>0.35</v>
      </c>
      <c r="E68" s="50">
        <f t="shared" si="3"/>
        <v>113.10000000000001</v>
      </c>
      <c r="F68" s="51">
        <v>1</v>
      </c>
      <c r="G68" s="52" t="s">
        <v>14</v>
      </c>
      <c r="H68" s="50">
        <f t="shared" si="4"/>
        <v>174</v>
      </c>
      <c r="I68" s="50">
        <f t="shared" si="5"/>
        <v>113.10000000000001</v>
      </c>
      <c r="J68" s="61" t="s">
        <v>52</v>
      </c>
      <c r="K68" s="53">
        <v>45945</v>
      </c>
    </row>
    <row r="69" spans="1:11" ht="43.5" x14ac:dyDescent="0.35">
      <c r="A69" s="3">
        <v>68</v>
      </c>
      <c r="B69" s="49" t="s">
        <v>80</v>
      </c>
      <c r="C69" s="50">
        <v>229.25</v>
      </c>
      <c r="D69" s="161">
        <v>0.35</v>
      </c>
      <c r="E69" s="50">
        <f t="shared" si="3"/>
        <v>149.01250000000002</v>
      </c>
      <c r="F69" s="51">
        <v>1</v>
      </c>
      <c r="G69" s="52" t="s">
        <v>14</v>
      </c>
      <c r="H69" s="50">
        <f t="shared" si="4"/>
        <v>229.25</v>
      </c>
      <c r="I69" s="50">
        <f t="shared" si="5"/>
        <v>149.01250000000002</v>
      </c>
      <c r="J69" s="61" t="s">
        <v>52</v>
      </c>
      <c r="K69" s="53">
        <v>45945</v>
      </c>
    </row>
    <row r="70" spans="1:11" x14ac:dyDescent="0.35">
      <c r="A70" s="3">
        <v>69</v>
      </c>
      <c r="B70" s="61" t="s">
        <v>82</v>
      </c>
      <c r="C70" s="50">
        <v>1584</v>
      </c>
      <c r="D70" s="161">
        <v>0.25</v>
      </c>
      <c r="E70" s="50">
        <f t="shared" si="3"/>
        <v>1188</v>
      </c>
      <c r="F70" s="51">
        <v>1</v>
      </c>
      <c r="G70" s="52" t="s">
        <v>14</v>
      </c>
      <c r="H70" s="50">
        <f t="shared" si="4"/>
        <v>1584</v>
      </c>
      <c r="I70" s="50">
        <f t="shared" si="5"/>
        <v>1188</v>
      </c>
      <c r="J70" s="61" t="s">
        <v>52</v>
      </c>
      <c r="K70" s="53">
        <v>45945</v>
      </c>
    </row>
    <row r="71" spans="1:11" ht="43.5" x14ac:dyDescent="0.35">
      <c r="A71" s="3">
        <v>70</v>
      </c>
      <c r="B71" s="49" t="s">
        <v>83</v>
      </c>
      <c r="C71" s="50">
        <v>808</v>
      </c>
      <c r="D71" s="161">
        <v>0.3</v>
      </c>
      <c r="E71" s="50">
        <f t="shared" si="3"/>
        <v>565.59999999999991</v>
      </c>
      <c r="F71" s="51">
        <v>1</v>
      </c>
      <c r="G71" s="52" t="s">
        <v>14</v>
      </c>
      <c r="H71" s="50">
        <f t="shared" si="4"/>
        <v>808</v>
      </c>
      <c r="I71" s="50">
        <f t="shared" si="5"/>
        <v>565.59999999999991</v>
      </c>
      <c r="J71" s="61" t="s">
        <v>52</v>
      </c>
      <c r="K71" s="53">
        <v>45945</v>
      </c>
    </row>
    <row r="72" spans="1:11" ht="29" x14ac:dyDescent="0.35">
      <c r="A72" s="3">
        <v>71</v>
      </c>
      <c r="B72" s="49" t="s">
        <v>84</v>
      </c>
      <c r="C72" s="50">
        <v>5583.33</v>
      </c>
      <c r="D72" s="161">
        <v>0</v>
      </c>
      <c r="E72" s="50">
        <f t="shared" si="3"/>
        <v>5583.33</v>
      </c>
      <c r="F72" s="51">
        <v>1</v>
      </c>
      <c r="G72" s="52" t="s">
        <v>14</v>
      </c>
      <c r="H72" s="50">
        <f t="shared" si="4"/>
        <v>5583.33</v>
      </c>
      <c r="I72" s="50">
        <f t="shared" si="5"/>
        <v>5583.33</v>
      </c>
      <c r="J72" s="61" t="s">
        <v>52</v>
      </c>
      <c r="K72" s="53">
        <v>45945</v>
      </c>
    </row>
    <row r="73" spans="1:11" ht="43.5" x14ac:dyDescent="0.35">
      <c r="A73" s="3">
        <v>72</v>
      </c>
      <c r="B73" s="49" t="s">
        <v>85</v>
      </c>
      <c r="C73" s="50">
        <v>833.33</v>
      </c>
      <c r="D73" s="161">
        <v>0</v>
      </c>
      <c r="E73" s="50">
        <f t="shared" si="3"/>
        <v>833.33</v>
      </c>
      <c r="F73" s="51">
        <v>1</v>
      </c>
      <c r="G73" s="52" t="s">
        <v>14</v>
      </c>
      <c r="H73" s="50">
        <f t="shared" si="4"/>
        <v>833.33</v>
      </c>
      <c r="I73" s="50">
        <f t="shared" si="5"/>
        <v>833.33</v>
      </c>
      <c r="J73" s="61" t="s">
        <v>52</v>
      </c>
      <c r="K73" s="53">
        <v>45945</v>
      </c>
    </row>
    <row r="74" spans="1:11" x14ac:dyDescent="0.35">
      <c r="A74" s="3">
        <v>73</v>
      </c>
      <c r="B74" s="61" t="s">
        <v>86</v>
      </c>
      <c r="C74" s="50">
        <v>70</v>
      </c>
      <c r="D74" s="161">
        <v>0</v>
      </c>
      <c r="E74" s="50">
        <f t="shared" si="3"/>
        <v>70</v>
      </c>
      <c r="F74" s="51">
        <v>1</v>
      </c>
      <c r="G74" s="52" t="s">
        <v>14</v>
      </c>
      <c r="H74" s="50">
        <f t="shared" si="4"/>
        <v>70</v>
      </c>
      <c r="I74" s="50">
        <f t="shared" si="5"/>
        <v>70</v>
      </c>
      <c r="J74" s="61" t="s">
        <v>52</v>
      </c>
      <c r="K74" s="53">
        <v>45945</v>
      </c>
    </row>
    <row r="75" spans="1:11" x14ac:dyDescent="0.35">
      <c r="A75" s="3">
        <v>74</v>
      </c>
      <c r="B75" s="61" t="s">
        <v>87</v>
      </c>
      <c r="C75" s="50">
        <v>70</v>
      </c>
      <c r="D75" s="161">
        <v>0</v>
      </c>
      <c r="E75" s="50">
        <f t="shared" si="3"/>
        <v>70</v>
      </c>
      <c r="F75" s="51">
        <v>2</v>
      </c>
      <c r="G75" s="52" t="s">
        <v>14</v>
      </c>
      <c r="H75" s="50">
        <f t="shared" si="4"/>
        <v>140</v>
      </c>
      <c r="I75" s="50">
        <f t="shared" si="5"/>
        <v>140</v>
      </c>
      <c r="J75" s="61" t="s">
        <v>52</v>
      </c>
      <c r="K75" s="53">
        <v>45945</v>
      </c>
    </row>
    <row r="76" spans="1:11" x14ac:dyDescent="0.35">
      <c r="A76" s="3">
        <v>75</v>
      </c>
      <c r="B76" s="61" t="s">
        <v>88</v>
      </c>
      <c r="C76" s="50">
        <v>70</v>
      </c>
      <c r="D76" s="161">
        <v>0</v>
      </c>
      <c r="E76" s="50">
        <f t="shared" si="3"/>
        <v>70</v>
      </c>
      <c r="F76" s="51">
        <v>2</v>
      </c>
      <c r="G76" s="52" t="s">
        <v>14</v>
      </c>
      <c r="H76" s="50">
        <f t="shared" si="4"/>
        <v>140</v>
      </c>
      <c r="I76" s="50">
        <f t="shared" si="5"/>
        <v>140</v>
      </c>
      <c r="J76" s="61" t="s">
        <v>52</v>
      </c>
      <c r="K76" s="53">
        <v>45945</v>
      </c>
    </row>
    <row r="77" spans="1:11" x14ac:dyDescent="0.35">
      <c r="A77" s="3">
        <v>76</v>
      </c>
      <c r="B77" s="61" t="s">
        <v>89</v>
      </c>
      <c r="C77" s="50">
        <v>205.92</v>
      </c>
      <c r="D77" s="161">
        <v>0.25</v>
      </c>
      <c r="E77" s="50">
        <f t="shared" si="3"/>
        <v>154.44</v>
      </c>
      <c r="F77" s="51">
        <v>1</v>
      </c>
      <c r="G77" s="52" t="s">
        <v>14</v>
      </c>
      <c r="H77" s="50">
        <f t="shared" si="4"/>
        <v>205.92</v>
      </c>
      <c r="I77" s="50">
        <f t="shared" si="5"/>
        <v>154.44</v>
      </c>
      <c r="J77" s="61" t="s">
        <v>52</v>
      </c>
      <c r="K77" s="53">
        <v>45945</v>
      </c>
    </row>
    <row r="78" spans="1:11" x14ac:dyDescent="0.35">
      <c r="A78" s="3">
        <v>77</v>
      </c>
      <c r="B78" s="61" t="s">
        <v>90</v>
      </c>
      <c r="C78" s="50">
        <v>77.760000000000005</v>
      </c>
      <c r="D78" s="161">
        <v>0.25</v>
      </c>
      <c r="E78" s="50">
        <f t="shared" si="3"/>
        <v>58.320000000000007</v>
      </c>
      <c r="F78" s="51">
        <v>1</v>
      </c>
      <c r="G78" s="52" t="s">
        <v>14</v>
      </c>
      <c r="H78" s="50">
        <f t="shared" si="4"/>
        <v>77.760000000000005</v>
      </c>
      <c r="I78" s="50">
        <f t="shared" si="5"/>
        <v>58.320000000000007</v>
      </c>
      <c r="J78" s="61" t="s">
        <v>52</v>
      </c>
      <c r="K78" s="53">
        <v>45945</v>
      </c>
    </row>
    <row r="79" spans="1:11" x14ac:dyDescent="0.35">
      <c r="A79" s="3">
        <v>78</v>
      </c>
      <c r="B79" s="61" t="s">
        <v>91</v>
      </c>
      <c r="C79" s="50">
        <v>77.760000000000005</v>
      </c>
      <c r="D79" s="161">
        <v>0.25</v>
      </c>
      <c r="E79" s="50">
        <f t="shared" si="3"/>
        <v>58.320000000000007</v>
      </c>
      <c r="F79" s="51">
        <v>1</v>
      </c>
      <c r="G79" s="52" t="s">
        <v>14</v>
      </c>
      <c r="H79" s="50">
        <f t="shared" si="4"/>
        <v>77.760000000000005</v>
      </c>
      <c r="I79" s="50">
        <f t="shared" si="5"/>
        <v>58.320000000000007</v>
      </c>
      <c r="J79" s="61" t="s">
        <v>52</v>
      </c>
      <c r="K79" s="53">
        <v>45945</v>
      </c>
    </row>
    <row r="80" spans="1:11" x14ac:dyDescent="0.35">
      <c r="A80" s="3">
        <v>79</v>
      </c>
      <c r="B80" s="61" t="s">
        <v>92</v>
      </c>
      <c r="C80" s="50">
        <v>92.64</v>
      </c>
      <c r="D80" s="161">
        <v>0.25</v>
      </c>
      <c r="E80" s="50">
        <f t="shared" si="3"/>
        <v>69.48</v>
      </c>
      <c r="F80" s="51">
        <v>1</v>
      </c>
      <c r="G80" s="52" t="s">
        <v>14</v>
      </c>
      <c r="H80" s="50">
        <f t="shared" si="4"/>
        <v>92.64</v>
      </c>
      <c r="I80" s="50">
        <f t="shared" si="5"/>
        <v>69.48</v>
      </c>
      <c r="J80" s="61" t="s">
        <v>52</v>
      </c>
      <c r="K80" s="53">
        <v>45945</v>
      </c>
    </row>
    <row r="81" spans="1:11" x14ac:dyDescent="0.35">
      <c r="A81" s="3">
        <v>80</v>
      </c>
      <c r="B81" s="61" t="s">
        <v>93</v>
      </c>
      <c r="C81" s="50">
        <v>80.16</v>
      </c>
      <c r="D81" s="161">
        <v>0.25</v>
      </c>
      <c r="E81" s="50">
        <f t="shared" si="3"/>
        <v>60.12</v>
      </c>
      <c r="F81" s="51">
        <v>1</v>
      </c>
      <c r="G81" s="52" t="s">
        <v>14</v>
      </c>
      <c r="H81" s="50">
        <f t="shared" si="4"/>
        <v>80.16</v>
      </c>
      <c r="I81" s="50">
        <f t="shared" si="5"/>
        <v>60.12</v>
      </c>
      <c r="J81" s="61" t="s">
        <v>52</v>
      </c>
      <c r="K81" s="53">
        <v>45945</v>
      </c>
    </row>
    <row r="82" spans="1:11" x14ac:dyDescent="0.35">
      <c r="A82" s="3">
        <v>81</v>
      </c>
      <c r="B82" s="61" t="s">
        <v>94</v>
      </c>
      <c r="C82" s="50">
        <v>248.16</v>
      </c>
      <c r="D82" s="161">
        <v>0.25</v>
      </c>
      <c r="E82" s="50">
        <f t="shared" si="3"/>
        <v>186.12</v>
      </c>
      <c r="F82" s="51">
        <v>1</v>
      </c>
      <c r="G82" s="52" t="s">
        <v>14</v>
      </c>
      <c r="H82" s="50">
        <f t="shared" si="4"/>
        <v>248.16</v>
      </c>
      <c r="I82" s="50">
        <f t="shared" si="5"/>
        <v>186.12</v>
      </c>
      <c r="J82" s="61" t="s">
        <v>52</v>
      </c>
      <c r="K82" s="53">
        <v>45945</v>
      </c>
    </row>
    <row r="83" spans="1:11" x14ac:dyDescent="0.35">
      <c r="A83" s="3">
        <v>82</v>
      </c>
      <c r="B83" s="61" t="s">
        <v>95</v>
      </c>
      <c r="C83" s="50">
        <v>248.16</v>
      </c>
      <c r="D83" s="161">
        <v>0.25</v>
      </c>
      <c r="E83" s="50">
        <f t="shared" si="3"/>
        <v>186.12</v>
      </c>
      <c r="F83" s="51">
        <v>1</v>
      </c>
      <c r="G83" s="52" t="s">
        <v>14</v>
      </c>
      <c r="H83" s="50">
        <f t="shared" si="4"/>
        <v>248.16</v>
      </c>
      <c r="I83" s="50">
        <f t="shared" si="5"/>
        <v>186.12</v>
      </c>
      <c r="J83" s="61" t="s">
        <v>52</v>
      </c>
      <c r="K83" s="53">
        <v>45945</v>
      </c>
    </row>
    <row r="84" spans="1:11" x14ac:dyDescent="0.35">
      <c r="A84" s="3">
        <v>83</v>
      </c>
      <c r="B84" s="61" t="s">
        <v>96</v>
      </c>
      <c r="C84" s="50">
        <v>672</v>
      </c>
      <c r="D84" s="161">
        <v>0.25</v>
      </c>
      <c r="E84" s="50">
        <f t="shared" si="3"/>
        <v>504</v>
      </c>
      <c r="F84" s="51">
        <v>1</v>
      </c>
      <c r="G84" s="52" t="s">
        <v>14</v>
      </c>
      <c r="H84" s="50">
        <f t="shared" si="4"/>
        <v>672</v>
      </c>
      <c r="I84" s="50">
        <f t="shared" si="5"/>
        <v>504</v>
      </c>
      <c r="J84" s="61" t="s">
        <v>52</v>
      </c>
      <c r="K84" s="53">
        <v>45945</v>
      </c>
    </row>
    <row r="85" spans="1:11" ht="43.5" x14ac:dyDescent="0.35">
      <c r="A85" s="3">
        <v>84</v>
      </c>
      <c r="B85" s="49" t="s">
        <v>97</v>
      </c>
      <c r="C85" s="50">
        <v>219.19</v>
      </c>
      <c r="D85" s="161">
        <v>0</v>
      </c>
      <c r="E85" s="50">
        <f t="shared" si="3"/>
        <v>219.19</v>
      </c>
      <c r="F85" s="51">
        <v>2</v>
      </c>
      <c r="G85" s="52" t="s">
        <v>14</v>
      </c>
      <c r="H85" s="50">
        <f t="shared" si="4"/>
        <v>438.38</v>
      </c>
      <c r="I85" s="50">
        <f t="shared" si="5"/>
        <v>438.38</v>
      </c>
      <c r="J85" s="61" t="s">
        <v>52</v>
      </c>
      <c r="K85" s="53">
        <v>45945</v>
      </c>
    </row>
    <row r="86" spans="1:11" x14ac:dyDescent="0.35">
      <c r="A86" s="3">
        <v>85</v>
      </c>
      <c r="B86" s="61" t="s">
        <v>98</v>
      </c>
      <c r="C86" s="50">
        <v>365</v>
      </c>
      <c r="D86" s="161">
        <v>0.35</v>
      </c>
      <c r="E86" s="50">
        <f t="shared" si="3"/>
        <v>237.25</v>
      </c>
      <c r="F86" s="51">
        <v>1</v>
      </c>
      <c r="G86" s="52" t="s">
        <v>14</v>
      </c>
      <c r="H86" s="50">
        <f t="shared" si="4"/>
        <v>365</v>
      </c>
      <c r="I86" s="50">
        <f t="shared" si="5"/>
        <v>237.25</v>
      </c>
      <c r="J86" s="61" t="s">
        <v>52</v>
      </c>
      <c r="K86" s="53">
        <v>45945</v>
      </c>
    </row>
    <row r="87" spans="1:11" x14ac:dyDescent="0.35">
      <c r="A87" s="3">
        <v>86</v>
      </c>
      <c r="B87" s="61" t="s">
        <v>99</v>
      </c>
      <c r="C87" s="50">
        <v>392.5</v>
      </c>
      <c r="D87" s="161">
        <v>0.35</v>
      </c>
      <c r="E87" s="50">
        <f t="shared" si="3"/>
        <v>255.125</v>
      </c>
      <c r="F87" s="51">
        <v>1</v>
      </c>
      <c r="G87" s="52" t="s">
        <v>14</v>
      </c>
      <c r="H87" s="50">
        <f t="shared" si="4"/>
        <v>392.5</v>
      </c>
      <c r="I87" s="50">
        <f t="shared" si="5"/>
        <v>255.125</v>
      </c>
      <c r="J87" s="61" t="s">
        <v>52</v>
      </c>
      <c r="K87" s="53">
        <v>45945</v>
      </c>
    </row>
    <row r="88" spans="1:11" x14ac:dyDescent="0.35">
      <c r="A88" s="3">
        <v>87</v>
      </c>
      <c r="B88" s="61" t="s">
        <v>100</v>
      </c>
      <c r="C88" s="50">
        <v>513</v>
      </c>
      <c r="D88" s="161">
        <v>0</v>
      </c>
      <c r="E88" s="50">
        <f t="shared" si="3"/>
        <v>513</v>
      </c>
      <c r="F88" s="51">
        <v>1</v>
      </c>
      <c r="G88" s="52" t="s">
        <v>14</v>
      </c>
      <c r="H88" s="50">
        <f t="shared" si="4"/>
        <v>513</v>
      </c>
      <c r="I88" s="50">
        <f t="shared" si="5"/>
        <v>513</v>
      </c>
      <c r="J88" s="61" t="s">
        <v>52</v>
      </c>
      <c r="K88" s="53">
        <v>45945</v>
      </c>
    </row>
    <row r="89" spans="1:11" x14ac:dyDescent="0.35">
      <c r="A89" s="3">
        <v>88</v>
      </c>
      <c r="B89" s="61" t="s">
        <v>101</v>
      </c>
      <c r="C89" s="50">
        <v>3750</v>
      </c>
      <c r="D89" s="161">
        <v>0</v>
      </c>
      <c r="E89" s="50">
        <f t="shared" si="3"/>
        <v>3750</v>
      </c>
      <c r="F89" s="51">
        <v>1</v>
      </c>
      <c r="G89" s="52" t="s">
        <v>14</v>
      </c>
      <c r="H89" s="50">
        <f t="shared" si="4"/>
        <v>3750</v>
      </c>
      <c r="I89" s="50">
        <f t="shared" si="5"/>
        <v>3750</v>
      </c>
      <c r="J89" s="61" t="s">
        <v>52</v>
      </c>
      <c r="K89" s="53">
        <v>45945</v>
      </c>
    </row>
    <row r="90" spans="1:11" x14ac:dyDescent="0.35">
      <c r="A90" s="3">
        <v>89</v>
      </c>
      <c r="B90" s="61" t="s">
        <v>102</v>
      </c>
      <c r="C90" s="50">
        <v>34.56</v>
      </c>
      <c r="D90" s="161">
        <v>0.3</v>
      </c>
      <c r="E90" s="50">
        <f t="shared" si="3"/>
        <v>24.192</v>
      </c>
      <c r="F90" s="51">
        <v>25</v>
      </c>
      <c r="G90" s="52" t="s">
        <v>14</v>
      </c>
      <c r="H90" s="50">
        <f t="shared" si="4"/>
        <v>864</v>
      </c>
      <c r="I90" s="50">
        <f t="shared" si="5"/>
        <v>604.79999999999995</v>
      </c>
      <c r="J90" s="61" t="s">
        <v>52</v>
      </c>
      <c r="K90" s="53">
        <v>45945</v>
      </c>
    </row>
    <row r="91" spans="1:11" x14ac:dyDescent="0.35">
      <c r="A91" s="3">
        <v>90</v>
      </c>
      <c r="B91" s="61" t="s">
        <v>103</v>
      </c>
      <c r="C91" s="50">
        <v>4.4130000000000003</v>
      </c>
      <c r="D91" s="161">
        <v>0.4</v>
      </c>
      <c r="E91" s="50">
        <f t="shared" si="3"/>
        <v>2.6478000000000002</v>
      </c>
      <c r="F91" s="51">
        <v>30</v>
      </c>
      <c r="G91" s="52" t="s">
        <v>14</v>
      </c>
      <c r="H91" s="50">
        <f t="shared" si="4"/>
        <v>132.39000000000001</v>
      </c>
      <c r="I91" s="50">
        <f t="shared" si="5"/>
        <v>79.433999999999997</v>
      </c>
      <c r="J91" s="61" t="s">
        <v>52</v>
      </c>
      <c r="K91" s="53">
        <v>45945</v>
      </c>
    </row>
    <row r="92" spans="1:11" x14ac:dyDescent="0.35">
      <c r="A92" s="3">
        <v>91</v>
      </c>
      <c r="B92" s="61" t="s">
        <v>104</v>
      </c>
      <c r="C92" s="50">
        <v>1.1734</v>
      </c>
      <c r="D92" s="161">
        <v>0.4</v>
      </c>
      <c r="E92" s="50">
        <f t="shared" si="3"/>
        <v>0.70404</v>
      </c>
      <c r="F92" s="51">
        <v>30</v>
      </c>
      <c r="G92" s="52" t="s">
        <v>14</v>
      </c>
      <c r="H92" s="50">
        <f t="shared" si="4"/>
        <v>35.201999999999998</v>
      </c>
      <c r="I92" s="50">
        <f t="shared" si="5"/>
        <v>21.121200000000002</v>
      </c>
      <c r="J92" s="61" t="s">
        <v>52</v>
      </c>
      <c r="K92" s="53">
        <v>45945</v>
      </c>
    </row>
    <row r="93" spans="1:11" x14ac:dyDescent="0.35">
      <c r="A93" s="3">
        <v>92</v>
      </c>
      <c r="B93" s="61" t="s">
        <v>105</v>
      </c>
      <c r="C93" s="50">
        <v>7.6132</v>
      </c>
      <c r="D93" s="161">
        <v>0.4</v>
      </c>
      <c r="E93" s="50">
        <f t="shared" si="3"/>
        <v>4.56792</v>
      </c>
      <c r="F93" s="51">
        <v>30</v>
      </c>
      <c r="G93" s="52" t="s">
        <v>14</v>
      </c>
      <c r="H93" s="50">
        <f t="shared" si="4"/>
        <v>228.39599999999999</v>
      </c>
      <c r="I93" s="50">
        <f t="shared" si="5"/>
        <v>137.0376</v>
      </c>
      <c r="J93" s="61" t="s">
        <v>52</v>
      </c>
      <c r="K93" s="53">
        <v>45945</v>
      </c>
    </row>
    <row r="94" spans="1:11" x14ac:dyDescent="0.35">
      <c r="A94" s="3">
        <v>93</v>
      </c>
      <c r="B94" s="61" t="s">
        <v>106</v>
      </c>
      <c r="C94" s="50">
        <v>10.1845</v>
      </c>
      <c r="D94" s="161">
        <v>0.4</v>
      </c>
      <c r="E94" s="50">
        <f t="shared" si="3"/>
        <v>6.1106999999999996</v>
      </c>
      <c r="F94" s="51">
        <v>30</v>
      </c>
      <c r="G94" s="52" t="s">
        <v>14</v>
      </c>
      <c r="H94" s="50">
        <f t="shared" si="4"/>
        <v>305.53499999999997</v>
      </c>
      <c r="I94" s="50">
        <f t="shared" si="5"/>
        <v>183.321</v>
      </c>
      <c r="J94" s="61" t="s">
        <v>52</v>
      </c>
      <c r="K94" s="53">
        <v>45945</v>
      </c>
    </row>
    <row r="95" spans="1:11" x14ac:dyDescent="0.35">
      <c r="A95" s="3">
        <v>94</v>
      </c>
      <c r="B95" s="61" t="s">
        <v>107</v>
      </c>
      <c r="C95" s="50">
        <v>2.4821</v>
      </c>
      <c r="D95" s="161">
        <v>0.4</v>
      </c>
      <c r="E95" s="50">
        <f t="shared" si="3"/>
        <v>1.48926</v>
      </c>
      <c r="F95" s="51">
        <v>60</v>
      </c>
      <c r="G95" s="52" t="s">
        <v>14</v>
      </c>
      <c r="H95" s="50">
        <f t="shared" si="4"/>
        <v>148.92599999999999</v>
      </c>
      <c r="I95" s="50">
        <f t="shared" si="5"/>
        <v>89.355599999999995</v>
      </c>
      <c r="J95" s="61" t="s">
        <v>52</v>
      </c>
      <c r="K95" s="53">
        <v>45945</v>
      </c>
    </row>
    <row r="96" spans="1:11" x14ac:dyDescent="0.35">
      <c r="A96" s="3">
        <v>95</v>
      </c>
      <c r="B96" s="61" t="s">
        <v>108</v>
      </c>
      <c r="C96" s="50">
        <v>9.8783999999999992</v>
      </c>
      <c r="D96" s="161">
        <v>0.4</v>
      </c>
      <c r="E96" s="50">
        <f t="shared" si="3"/>
        <v>5.927039999999999</v>
      </c>
      <c r="F96" s="51">
        <v>30</v>
      </c>
      <c r="G96" s="52" t="s">
        <v>14</v>
      </c>
      <c r="H96" s="50">
        <f t="shared" si="4"/>
        <v>296.35199999999998</v>
      </c>
      <c r="I96" s="50">
        <f t="shared" si="5"/>
        <v>177.81119999999996</v>
      </c>
      <c r="J96" s="61" t="s">
        <v>52</v>
      </c>
      <c r="K96" s="53">
        <v>45945</v>
      </c>
    </row>
    <row r="97" spans="1:11" x14ac:dyDescent="0.35">
      <c r="A97" s="3">
        <v>96</v>
      </c>
      <c r="B97" s="61" t="s">
        <v>109</v>
      </c>
      <c r="C97" s="50">
        <v>3.6496</v>
      </c>
      <c r="D97" s="161">
        <v>0.4</v>
      </c>
      <c r="E97" s="50">
        <f t="shared" si="3"/>
        <v>2.1897599999999997</v>
      </c>
      <c r="F97" s="51">
        <v>30</v>
      </c>
      <c r="G97" s="52" t="s">
        <v>14</v>
      </c>
      <c r="H97" s="50">
        <f t="shared" si="4"/>
        <v>109.488</v>
      </c>
      <c r="I97" s="50">
        <f t="shared" si="5"/>
        <v>65.692799999999991</v>
      </c>
      <c r="J97" s="61" t="s">
        <v>52</v>
      </c>
      <c r="K97" s="53">
        <v>45945</v>
      </c>
    </row>
    <row r="98" spans="1:11" x14ac:dyDescent="0.35">
      <c r="A98" s="3">
        <v>97</v>
      </c>
      <c r="B98" s="61" t="s">
        <v>110</v>
      </c>
      <c r="C98" s="50">
        <v>0.35770000000000002</v>
      </c>
      <c r="D98" s="161">
        <v>0.3</v>
      </c>
      <c r="E98" s="50">
        <f t="shared" si="3"/>
        <v>0.25039</v>
      </c>
      <c r="F98" s="51">
        <v>30</v>
      </c>
      <c r="G98" s="52" t="s">
        <v>14</v>
      </c>
      <c r="H98" s="50">
        <f t="shared" si="4"/>
        <v>10.731</v>
      </c>
      <c r="I98" s="50">
        <f t="shared" si="5"/>
        <v>7.5117000000000003</v>
      </c>
      <c r="J98" s="61" t="s">
        <v>52</v>
      </c>
      <c r="K98" s="53">
        <v>45945</v>
      </c>
    </row>
    <row r="99" spans="1:11" x14ac:dyDescent="0.35">
      <c r="A99" s="3">
        <v>98</v>
      </c>
      <c r="B99" s="61" t="s">
        <v>111</v>
      </c>
      <c r="C99" s="50">
        <v>0.71250000000000002</v>
      </c>
      <c r="D99" s="161">
        <v>0.3</v>
      </c>
      <c r="E99" s="50">
        <f t="shared" si="3"/>
        <v>0.49874999999999997</v>
      </c>
      <c r="F99" s="51">
        <v>60</v>
      </c>
      <c r="G99" s="52" t="s">
        <v>14</v>
      </c>
      <c r="H99" s="50">
        <f t="shared" si="4"/>
        <v>42.75</v>
      </c>
      <c r="I99" s="50">
        <f t="shared" si="5"/>
        <v>29.924999999999997</v>
      </c>
      <c r="J99" s="61" t="s">
        <v>52</v>
      </c>
      <c r="K99" s="53">
        <v>45945</v>
      </c>
    </row>
    <row r="100" spans="1:11" x14ac:dyDescent="0.35">
      <c r="A100" s="3">
        <v>99</v>
      </c>
      <c r="B100" s="61" t="s">
        <v>112</v>
      </c>
      <c r="C100" s="50">
        <v>1.0974999999999999</v>
      </c>
      <c r="D100" s="161">
        <v>0.3</v>
      </c>
      <c r="E100" s="50">
        <f t="shared" si="3"/>
        <v>0.76824999999999988</v>
      </c>
      <c r="F100" s="51">
        <v>30</v>
      </c>
      <c r="G100" s="52" t="s">
        <v>14</v>
      </c>
      <c r="H100" s="50">
        <f t="shared" si="4"/>
        <v>32.924999999999997</v>
      </c>
      <c r="I100" s="50">
        <f t="shared" si="5"/>
        <v>23.047499999999996</v>
      </c>
      <c r="J100" s="61" t="s">
        <v>52</v>
      </c>
      <c r="K100" s="53">
        <v>45945</v>
      </c>
    </row>
    <row r="101" spans="1:11" x14ac:dyDescent="0.35">
      <c r="A101" s="3">
        <v>100</v>
      </c>
      <c r="B101" s="61" t="s">
        <v>113</v>
      </c>
      <c r="C101" s="50">
        <v>0.35</v>
      </c>
      <c r="D101" s="161">
        <v>0</v>
      </c>
      <c r="E101" s="50">
        <f t="shared" si="3"/>
        <v>0.35</v>
      </c>
      <c r="F101" s="51">
        <v>100</v>
      </c>
      <c r="G101" s="52" t="s">
        <v>14</v>
      </c>
      <c r="H101" s="50">
        <f t="shared" si="4"/>
        <v>35</v>
      </c>
      <c r="I101" s="50">
        <f t="shared" si="5"/>
        <v>35</v>
      </c>
      <c r="J101" s="61" t="s">
        <v>52</v>
      </c>
      <c r="K101" s="53">
        <v>45945</v>
      </c>
    </row>
    <row r="102" spans="1:11" x14ac:dyDescent="0.35">
      <c r="A102" s="3">
        <v>101</v>
      </c>
      <c r="B102" s="61" t="s">
        <v>114</v>
      </c>
      <c r="C102" s="50">
        <v>0.6</v>
      </c>
      <c r="D102" s="161">
        <v>0</v>
      </c>
      <c r="E102" s="50">
        <f t="shared" si="3"/>
        <v>0.6</v>
      </c>
      <c r="F102" s="51">
        <v>100</v>
      </c>
      <c r="G102" s="52" t="s">
        <v>14</v>
      </c>
      <c r="H102" s="50">
        <f t="shared" si="4"/>
        <v>60</v>
      </c>
      <c r="I102" s="50">
        <f t="shared" si="5"/>
        <v>60</v>
      </c>
      <c r="J102" s="61" t="s">
        <v>52</v>
      </c>
      <c r="K102" s="53">
        <v>45945</v>
      </c>
    </row>
    <row r="103" spans="1:11" x14ac:dyDescent="0.35">
      <c r="A103" s="3">
        <v>102</v>
      </c>
      <c r="B103" s="61" t="s">
        <v>115</v>
      </c>
      <c r="C103" s="50">
        <v>1.2096</v>
      </c>
      <c r="D103" s="161">
        <v>0.3</v>
      </c>
      <c r="E103" s="50">
        <f t="shared" si="3"/>
        <v>0.84671999999999992</v>
      </c>
      <c r="F103" s="51">
        <v>100</v>
      </c>
      <c r="G103" s="52" t="s">
        <v>14</v>
      </c>
      <c r="H103" s="50">
        <f t="shared" si="4"/>
        <v>120.96000000000001</v>
      </c>
      <c r="I103" s="50">
        <f t="shared" si="5"/>
        <v>84.671999999999997</v>
      </c>
      <c r="J103" s="61" t="s">
        <v>52</v>
      </c>
      <c r="K103" s="53">
        <v>45945</v>
      </c>
    </row>
    <row r="104" spans="1:11" x14ac:dyDescent="0.35">
      <c r="A104" s="3">
        <v>103</v>
      </c>
      <c r="B104" s="61" t="s">
        <v>116</v>
      </c>
      <c r="C104" s="50">
        <v>2.1383999999999999</v>
      </c>
      <c r="D104" s="161">
        <v>0.3</v>
      </c>
      <c r="E104" s="50">
        <f t="shared" si="3"/>
        <v>1.4968799999999998</v>
      </c>
      <c r="F104" s="51">
        <v>100</v>
      </c>
      <c r="G104" s="52" t="s">
        <v>14</v>
      </c>
      <c r="H104" s="50">
        <f t="shared" si="4"/>
        <v>213.83999999999997</v>
      </c>
      <c r="I104" s="50">
        <f t="shared" si="5"/>
        <v>149.68799999999999</v>
      </c>
      <c r="J104" s="61" t="s">
        <v>52</v>
      </c>
      <c r="K104" s="53">
        <v>45945</v>
      </c>
    </row>
    <row r="105" spans="1:11" x14ac:dyDescent="0.35">
      <c r="A105" s="3">
        <v>104</v>
      </c>
      <c r="B105" s="61" t="s">
        <v>117</v>
      </c>
      <c r="C105" s="50">
        <v>0.42749999999999999</v>
      </c>
      <c r="D105" s="161">
        <v>0.3</v>
      </c>
      <c r="E105" s="50">
        <f t="shared" si="3"/>
        <v>0.29924999999999996</v>
      </c>
      <c r="F105" s="51">
        <v>100</v>
      </c>
      <c r="G105" s="52" t="s">
        <v>14</v>
      </c>
      <c r="H105" s="50">
        <f t="shared" si="4"/>
        <v>42.75</v>
      </c>
      <c r="I105" s="50">
        <f t="shared" si="5"/>
        <v>29.924999999999997</v>
      </c>
      <c r="J105" s="61" t="s">
        <v>52</v>
      </c>
      <c r="K105" s="53">
        <v>45945</v>
      </c>
    </row>
    <row r="106" spans="1:11" x14ac:dyDescent="0.35">
      <c r="A106" s="3">
        <v>105</v>
      </c>
      <c r="B106" s="61" t="s">
        <v>118</v>
      </c>
      <c r="C106" s="50">
        <v>0.53139999999999998</v>
      </c>
      <c r="D106" s="161">
        <v>0.3</v>
      </c>
      <c r="E106" s="50">
        <f t="shared" si="3"/>
        <v>0.37197999999999998</v>
      </c>
      <c r="F106" s="51">
        <v>100</v>
      </c>
      <c r="G106" s="52" t="s">
        <v>14</v>
      </c>
      <c r="H106" s="50">
        <f t="shared" si="4"/>
        <v>53.14</v>
      </c>
      <c r="I106" s="50">
        <f t="shared" si="5"/>
        <v>37.198</v>
      </c>
      <c r="J106" s="61" t="s">
        <v>52</v>
      </c>
      <c r="K106" s="53">
        <v>45945</v>
      </c>
    </row>
    <row r="107" spans="1:11" ht="29" x14ac:dyDescent="0.35">
      <c r="A107" s="3">
        <v>106</v>
      </c>
      <c r="B107" s="62" t="s">
        <v>120</v>
      </c>
      <c r="C107" s="63">
        <v>25.28</v>
      </c>
      <c r="D107" s="163">
        <v>2.0000000000000001E-4</v>
      </c>
      <c r="E107" s="63">
        <f t="shared" si="3"/>
        <v>25.274944000000001</v>
      </c>
      <c r="F107" s="64">
        <v>10</v>
      </c>
      <c r="G107" s="65" t="s">
        <v>14</v>
      </c>
      <c r="H107" s="63">
        <f t="shared" si="4"/>
        <v>252.8</v>
      </c>
      <c r="I107" s="63">
        <f t="shared" si="5"/>
        <v>252.74944000000002</v>
      </c>
      <c r="J107" s="66" t="s">
        <v>119</v>
      </c>
      <c r="K107" s="67">
        <v>45966</v>
      </c>
    </row>
    <row r="108" spans="1:11" ht="29" x14ac:dyDescent="0.35">
      <c r="A108" s="3">
        <v>107</v>
      </c>
      <c r="B108" s="62" t="s">
        <v>121</v>
      </c>
      <c r="C108" s="63">
        <v>25.42</v>
      </c>
      <c r="D108" s="163">
        <v>2.0000000000000001E-4</v>
      </c>
      <c r="E108" s="63">
        <f t="shared" si="3"/>
        <v>25.414916000000002</v>
      </c>
      <c r="F108" s="64">
        <v>10</v>
      </c>
      <c r="G108" s="65" t="s">
        <v>14</v>
      </c>
      <c r="H108" s="63">
        <f t="shared" si="4"/>
        <v>254.20000000000002</v>
      </c>
      <c r="I108" s="63">
        <f t="shared" si="5"/>
        <v>254.14916000000002</v>
      </c>
      <c r="J108" s="66" t="s">
        <v>119</v>
      </c>
      <c r="K108" s="67">
        <v>45966</v>
      </c>
    </row>
    <row r="109" spans="1:11" ht="29" x14ac:dyDescent="0.35">
      <c r="A109" s="3">
        <v>108</v>
      </c>
      <c r="B109" s="62" t="s">
        <v>122</v>
      </c>
      <c r="C109" s="63">
        <v>41.4</v>
      </c>
      <c r="D109" s="163">
        <v>2.0000000000000001E-4</v>
      </c>
      <c r="E109" s="63">
        <f t="shared" si="3"/>
        <v>41.391719999999999</v>
      </c>
      <c r="F109" s="64">
        <v>44</v>
      </c>
      <c r="G109" s="65" t="s">
        <v>14</v>
      </c>
      <c r="H109" s="63">
        <f t="shared" si="4"/>
        <v>1821.6</v>
      </c>
      <c r="I109" s="63">
        <f t="shared" si="5"/>
        <v>1821.23568</v>
      </c>
      <c r="J109" s="66" t="s">
        <v>119</v>
      </c>
      <c r="K109" s="67">
        <v>45966</v>
      </c>
    </row>
    <row r="110" spans="1:11" ht="29" x14ac:dyDescent="0.35">
      <c r="A110" s="3">
        <v>109</v>
      </c>
      <c r="B110" s="62" t="s">
        <v>123</v>
      </c>
      <c r="C110" s="63">
        <v>25.42</v>
      </c>
      <c r="D110" s="163">
        <v>2.0000000000000001E-4</v>
      </c>
      <c r="E110" s="63">
        <f t="shared" si="3"/>
        <v>25.414916000000002</v>
      </c>
      <c r="F110" s="64">
        <v>44</v>
      </c>
      <c r="G110" s="65" t="s">
        <v>14</v>
      </c>
      <c r="H110" s="63">
        <f t="shared" si="4"/>
        <v>1118.48</v>
      </c>
      <c r="I110" s="63">
        <f t="shared" si="5"/>
        <v>1118.256304</v>
      </c>
      <c r="J110" s="66" t="s">
        <v>119</v>
      </c>
      <c r="K110" s="67">
        <v>45966</v>
      </c>
    </row>
    <row r="111" spans="1:11" ht="29" x14ac:dyDescent="0.35">
      <c r="A111" s="3">
        <v>110</v>
      </c>
      <c r="B111" s="62" t="s">
        <v>124</v>
      </c>
      <c r="C111" s="63">
        <v>40.090000000000003</v>
      </c>
      <c r="D111" s="163">
        <v>2.0000000000000001E-4</v>
      </c>
      <c r="E111" s="63">
        <f t="shared" si="3"/>
        <v>40.081982000000004</v>
      </c>
      <c r="F111" s="64">
        <v>12</v>
      </c>
      <c r="G111" s="65" t="s">
        <v>14</v>
      </c>
      <c r="H111" s="63">
        <f t="shared" si="4"/>
        <v>481.08000000000004</v>
      </c>
      <c r="I111" s="63">
        <f t="shared" si="5"/>
        <v>480.98378400000001</v>
      </c>
      <c r="J111" s="66" t="s">
        <v>119</v>
      </c>
      <c r="K111" s="67">
        <v>45966</v>
      </c>
    </row>
    <row r="112" spans="1:11" ht="29" x14ac:dyDescent="0.35">
      <c r="A112" s="3">
        <v>111</v>
      </c>
      <c r="B112" s="62" t="s">
        <v>125</v>
      </c>
      <c r="C112" s="63">
        <v>25.42</v>
      </c>
      <c r="D112" s="163">
        <v>2.0000000000000001E-4</v>
      </c>
      <c r="E112" s="63">
        <f t="shared" si="3"/>
        <v>25.414916000000002</v>
      </c>
      <c r="F112" s="64">
        <v>12</v>
      </c>
      <c r="G112" s="65" t="s">
        <v>14</v>
      </c>
      <c r="H112" s="63">
        <f t="shared" si="4"/>
        <v>305.04000000000002</v>
      </c>
      <c r="I112" s="63">
        <f t="shared" si="5"/>
        <v>304.97899200000001</v>
      </c>
      <c r="J112" s="66" t="s">
        <v>119</v>
      </c>
      <c r="K112" s="67">
        <v>45966</v>
      </c>
    </row>
    <row r="113" spans="1:11" ht="29" x14ac:dyDescent="0.35">
      <c r="A113" s="3">
        <v>112</v>
      </c>
      <c r="B113" s="62" t="s">
        <v>126</v>
      </c>
      <c r="C113" s="63">
        <v>33.549999999999997</v>
      </c>
      <c r="D113" s="163">
        <v>2.0000000000000001E-4</v>
      </c>
      <c r="E113" s="63">
        <f t="shared" si="3"/>
        <v>33.543289999999999</v>
      </c>
      <c r="F113" s="64">
        <v>6</v>
      </c>
      <c r="G113" s="65" t="s">
        <v>14</v>
      </c>
      <c r="H113" s="63">
        <f t="shared" si="4"/>
        <v>201.29999999999998</v>
      </c>
      <c r="I113" s="63">
        <f t="shared" si="5"/>
        <v>201.25973999999999</v>
      </c>
      <c r="J113" s="66" t="s">
        <v>119</v>
      </c>
      <c r="K113" s="67">
        <v>45966</v>
      </c>
    </row>
    <row r="114" spans="1:11" x14ac:dyDescent="0.35">
      <c r="A114" s="3">
        <v>113</v>
      </c>
      <c r="B114" s="66" t="s">
        <v>127</v>
      </c>
      <c r="C114" s="63">
        <v>25.42</v>
      </c>
      <c r="D114" s="163">
        <v>2.0000000000000001E-4</v>
      </c>
      <c r="E114" s="63">
        <f t="shared" si="3"/>
        <v>25.414916000000002</v>
      </c>
      <c r="F114" s="64">
        <v>6</v>
      </c>
      <c r="G114" s="65" t="s">
        <v>14</v>
      </c>
      <c r="H114" s="63">
        <f t="shared" si="4"/>
        <v>152.52000000000001</v>
      </c>
      <c r="I114" s="63">
        <f t="shared" si="5"/>
        <v>152.489496</v>
      </c>
      <c r="J114" s="66" t="s">
        <v>119</v>
      </c>
      <c r="K114" s="67">
        <v>45966</v>
      </c>
    </row>
    <row r="115" spans="1:11" ht="29" x14ac:dyDescent="0.35">
      <c r="A115" s="3">
        <v>114</v>
      </c>
      <c r="B115" s="62" t="s">
        <v>128</v>
      </c>
      <c r="C115" s="63">
        <v>55.46</v>
      </c>
      <c r="D115" s="163">
        <v>2.0000000000000001E-4</v>
      </c>
      <c r="E115" s="63">
        <f t="shared" si="3"/>
        <v>55.448908000000003</v>
      </c>
      <c r="F115" s="64">
        <v>1</v>
      </c>
      <c r="G115" s="65" t="s">
        <v>14</v>
      </c>
      <c r="H115" s="63">
        <f t="shared" si="4"/>
        <v>55.46</v>
      </c>
      <c r="I115" s="63">
        <f t="shared" si="5"/>
        <v>55.448908000000003</v>
      </c>
      <c r="J115" s="66" t="s">
        <v>119</v>
      </c>
      <c r="K115" s="67">
        <v>45966</v>
      </c>
    </row>
    <row r="116" spans="1:11" x14ac:dyDescent="0.35">
      <c r="A116" s="3">
        <v>115</v>
      </c>
      <c r="B116" s="66" t="s">
        <v>129</v>
      </c>
      <c r="C116" s="63">
        <v>25.42</v>
      </c>
      <c r="D116" s="163">
        <v>2.0000000000000001E-4</v>
      </c>
      <c r="E116" s="63">
        <f t="shared" si="3"/>
        <v>25.414916000000002</v>
      </c>
      <c r="F116" s="64">
        <v>1</v>
      </c>
      <c r="G116" s="65" t="s">
        <v>14</v>
      </c>
      <c r="H116" s="63">
        <f t="shared" si="4"/>
        <v>25.42</v>
      </c>
      <c r="I116" s="63">
        <f t="shared" si="5"/>
        <v>25.414916000000002</v>
      </c>
      <c r="J116" s="66" t="s">
        <v>119</v>
      </c>
      <c r="K116" s="67">
        <v>45966</v>
      </c>
    </row>
    <row r="117" spans="1:11" x14ac:dyDescent="0.35">
      <c r="A117" s="3">
        <v>116</v>
      </c>
      <c r="B117" s="66" t="s">
        <v>130</v>
      </c>
      <c r="C117" s="63">
        <v>40.93</v>
      </c>
      <c r="D117" s="163">
        <v>2.0000000000000001E-4</v>
      </c>
      <c r="E117" s="63">
        <f t="shared" si="3"/>
        <v>40.921813999999998</v>
      </c>
      <c r="F117" s="64">
        <v>37</v>
      </c>
      <c r="G117" s="65" t="s">
        <v>14</v>
      </c>
      <c r="H117" s="63">
        <f t="shared" si="4"/>
        <v>1514.41</v>
      </c>
      <c r="I117" s="63">
        <f t="shared" si="5"/>
        <v>1514.1071179999999</v>
      </c>
      <c r="J117" s="66" t="s">
        <v>119</v>
      </c>
      <c r="K117" s="67">
        <v>45966</v>
      </c>
    </row>
    <row r="118" spans="1:11" x14ac:dyDescent="0.35">
      <c r="A118" s="3">
        <v>117</v>
      </c>
      <c r="B118" s="66" t="s">
        <v>131</v>
      </c>
      <c r="C118" s="63">
        <v>69.09</v>
      </c>
      <c r="D118" s="163">
        <v>2.0000000000000001E-4</v>
      </c>
      <c r="E118" s="63">
        <f t="shared" si="3"/>
        <v>69.076182000000003</v>
      </c>
      <c r="F118" s="64">
        <v>11</v>
      </c>
      <c r="G118" s="65" t="s">
        <v>14</v>
      </c>
      <c r="H118" s="63">
        <f t="shared" si="4"/>
        <v>759.99</v>
      </c>
      <c r="I118" s="63">
        <f t="shared" si="5"/>
        <v>759.83800200000007</v>
      </c>
      <c r="J118" s="66" t="s">
        <v>119</v>
      </c>
      <c r="K118" s="67">
        <v>45966</v>
      </c>
    </row>
    <row r="119" spans="1:11" x14ac:dyDescent="0.35">
      <c r="A119" s="3">
        <v>118</v>
      </c>
      <c r="B119" s="66" t="s">
        <v>132</v>
      </c>
      <c r="C119" s="63">
        <v>78.489999999999995</v>
      </c>
      <c r="D119" s="163">
        <v>2.0000000000000001E-4</v>
      </c>
      <c r="E119" s="63">
        <f t="shared" si="3"/>
        <v>78.474301999999994</v>
      </c>
      <c r="F119" s="64">
        <v>3</v>
      </c>
      <c r="G119" s="65" t="s">
        <v>14</v>
      </c>
      <c r="H119" s="63">
        <f t="shared" si="4"/>
        <v>235.46999999999997</v>
      </c>
      <c r="I119" s="63">
        <f t="shared" si="5"/>
        <v>235.42290599999998</v>
      </c>
      <c r="J119" s="66" t="s">
        <v>119</v>
      </c>
      <c r="K119" s="67">
        <v>45966</v>
      </c>
    </row>
    <row r="120" spans="1:11" x14ac:dyDescent="0.35">
      <c r="A120" s="3">
        <v>119</v>
      </c>
      <c r="B120" s="66" t="s">
        <v>133</v>
      </c>
      <c r="C120" s="63">
        <v>94</v>
      </c>
      <c r="D120" s="163">
        <v>2.0000000000000001E-4</v>
      </c>
      <c r="E120" s="63">
        <f t="shared" si="3"/>
        <v>93.981200000000001</v>
      </c>
      <c r="F120" s="64">
        <v>1</v>
      </c>
      <c r="G120" s="65" t="s">
        <v>14</v>
      </c>
      <c r="H120" s="63">
        <f t="shared" si="4"/>
        <v>94</v>
      </c>
      <c r="I120" s="63">
        <f t="shared" si="5"/>
        <v>93.981200000000001</v>
      </c>
      <c r="J120" s="66" t="s">
        <v>119</v>
      </c>
      <c r="K120" s="67">
        <v>45966</v>
      </c>
    </row>
    <row r="121" spans="1:11" x14ac:dyDescent="0.35">
      <c r="A121" s="3">
        <v>120</v>
      </c>
      <c r="B121" s="66" t="s">
        <v>134</v>
      </c>
      <c r="C121" s="63">
        <v>3</v>
      </c>
      <c r="D121" s="163">
        <v>2.0000000000000001E-4</v>
      </c>
      <c r="E121" s="63">
        <f t="shared" si="3"/>
        <v>2.9994000000000001</v>
      </c>
      <c r="F121" s="64">
        <v>22</v>
      </c>
      <c r="G121" s="65" t="s">
        <v>14</v>
      </c>
      <c r="H121" s="63">
        <f t="shared" si="4"/>
        <v>66</v>
      </c>
      <c r="I121" s="63">
        <f t="shared" si="5"/>
        <v>65.986800000000002</v>
      </c>
      <c r="J121" s="66" t="s">
        <v>119</v>
      </c>
      <c r="K121" s="67">
        <v>45966</v>
      </c>
    </row>
    <row r="122" spans="1:11" ht="29" x14ac:dyDescent="0.35">
      <c r="A122" s="3">
        <v>121</v>
      </c>
      <c r="B122" s="62" t="s">
        <v>135</v>
      </c>
      <c r="C122" s="63">
        <v>100</v>
      </c>
      <c r="D122" s="163">
        <v>2.0000000000000001E-4</v>
      </c>
      <c r="E122" s="63">
        <f t="shared" si="3"/>
        <v>99.98</v>
      </c>
      <c r="F122" s="64">
        <v>3</v>
      </c>
      <c r="G122" s="65" t="s">
        <v>14</v>
      </c>
      <c r="H122" s="63">
        <f t="shared" si="4"/>
        <v>300</v>
      </c>
      <c r="I122" s="63">
        <f t="shared" si="5"/>
        <v>299.94</v>
      </c>
      <c r="J122" s="66" t="s">
        <v>119</v>
      </c>
      <c r="K122" s="67">
        <v>45966</v>
      </c>
    </row>
    <row r="123" spans="1:11" x14ac:dyDescent="0.35">
      <c r="A123" s="3">
        <v>122</v>
      </c>
      <c r="B123" s="66" t="s">
        <v>136</v>
      </c>
      <c r="C123" s="63">
        <v>50</v>
      </c>
      <c r="D123" s="163">
        <v>2.0000000000000001E-4</v>
      </c>
      <c r="E123" s="63">
        <f t="shared" si="3"/>
        <v>49.99</v>
      </c>
      <c r="F123" s="64">
        <v>50</v>
      </c>
      <c r="G123" s="65" t="s">
        <v>14</v>
      </c>
      <c r="H123" s="63">
        <f t="shared" si="4"/>
        <v>2500</v>
      </c>
      <c r="I123" s="63">
        <f t="shared" si="5"/>
        <v>2499.5</v>
      </c>
      <c r="J123" s="66" t="s">
        <v>119</v>
      </c>
      <c r="K123" s="67">
        <v>45966</v>
      </c>
    </row>
    <row r="124" spans="1:11" x14ac:dyDescent="0.35">
      <c r="A124" s="3">
        <v>123</v>
      </c>
      <c r="B124" s="66" t="s">
        <v>137</v>
      </c>
      <c r="C124" s="63">
        <v>5</v>
      </c>
      <c r="D124" s="163">
        <v>2.0000000000000001E-4</v>
      </c>
      <c r="E124" s="63">
        <f t="shared" si="3"/>
        <v>4.9990000000000006</v>
      </c>
      <c r="F124" s="64">
        <v>50</v>
      </c>
      <c r="G124" s="65" t="s">
        <v>14</v>
      </c>
      <c r="H124" s="63">
        <f t="shared" si="4"/>
        <v>250</v>
      </c>
      <c r="I124" s="63">
        <f t="shared" si="5"/>
        <v>249.95000000000002</v>
      </c>
      <c r="J124" s="66" t="s">
        <v>119</v>
      </c>
      <c r="K124" s="67">
        <v>45966</v>
      </c>
    </row>
    <row r="125" spans="1:11" ht="29" x14ac:dyDescent="0.35">
      <c r="A125" s="3">
        <v>124</v>
      </c>
      <c r="B125" s="62" t="s">
        <v>138</v>
      </c>
      <c r="C125" s="63">
        <v>25</v>
      </c>
      <c r="D125" s="163">
        <v>2.0000000000000001E-4</v>
      </c>
      <c r="E125" s="63">
        <f t="shared" si="3"/>
        <v>24.995000000000001</v>
      </c>
      <c r="F125" s="64">
        <v>50</v>
      </c>
      <c r="G125" s="65" t="s">
        <v>14</v>
      </c>
      <c r="H125" s="63">
        <f t="shared" si="4"/>
        <v>1250</v>
      </c>
      <c r="I125" s="63">
        <f t="shared" si="5"/>
        <v>1249.75</v>
      </c>
      <c r="J125" s="66" t="s">
        <v>119</v>
      </c>
      <c r="K125" s="67">
        <v>45966</v>
      </c>
    </row>
    <row r="126" spans="1:11" ht="43.5" x14ac:dyDescent="0.35">
      <c r="A126" s="3">
        <v>125</v>
      </c>
      <c r="B126" s="62" t="s">
        <v>139</v>
      </c>
      <c r="C126" s="63">
        <v>416</v>
      </c>
      <c r="D126" s="163">
        <v>2.0000000000000001E-4</v>
      </c>
      <c r="E126" s="63">
        <f t="shared" si="3"/>
        <v>415.91680000000002</v>
      </c>
      <c r="F126" s="64">
        <v>5</v>
      </c>
      <c r="G126" s="65" t="s">
        <v>14</v>
      </c>
      <c r="H126" s="63">
        <f t="shared" si="4"/>
        <v>2080</v>
      </c>
      <c r="I126" s="63">
        <f t="shared" si="5"/>
        <v>2079.5840000000003</v>
      </c>
      <c r="J126" s="66" t="s">
        <v>119</v>
      </c>
      <c r="K126" s="67">
        <v>45966</v>
      </c>
    </row>
    <row r="127" spans="1:11" ht="29" x14ac:dyDescent="0.35">
      <c r="A127" s="3">
        <v>126</v>
      </c>
      <c r="B127" s="62" t="s">
        <v>140</v>
      </c>
      <c r="C127" s="63">
        <v>130</v>
      </c>
      <c r="D127" s="163">
        <v>2.0000000000000001E-4</v>
      </c>
      <c r="E127" s="63">
        <f t="shared" si="3"/>
        <v>129.97399999999999</v>
      </c>
      <c r="F127" s="64">
        <v>2</v>
      </c>
      <c r="G127" s="65" t="s">
        <v>14</v>
      </c>
      <c r="H127" s="63">
        <f t="shared" si="4"/>
        <v>260</v>
      </c>
      <c r="I127" s="63">
        <f t="shared" si="5"/>
        <v>259.94799999999998</v>
      </c>
      <c r="J127" s="66" t="s">
        <v>119</v>
      </c>
      <c r="K127" s="67">
        <v>45966</v>
      </c>
    </row>
    <row r="128" spans="1:11" ht="29" x14ac:dyDescent="0.35">
      <c r="A128" s="3">
        <v>127</v>
      </c>
      <c r="B128" s="68" t="s">
        <v>124</v>
      </c>
      <c r="C128" s="69">
        <v>40.090000000000003</v>
      </c>
      <c r="D128" s="164">
        <v>9.1000000000000004E-3</v>
      </c>
      <c r="E128" s="69">
        <f t="shared" si="3"/>
        <v>39.725181000000006</v>
      </c>
      <c r="F128" s="70">
        <v>3</v>
      </c>
      <c r="G128" s="71" t="s">
        <v>14</v>
      </c>
      <c r="H128" s="69">
        <f t="shared" si="4"/>
        <v>120.27000000000001</v>
      </c>
      <c r="I128" s="69">
        <f t="shared" si="5"/>
        <v>119.17554300000002</v>
      </c>
      <c r="J128" s="72" t="s">
        <v>119</v>
      </c>
      <c r="K128" s="73">
        <v>45979</v>
      </c>
    </row>
    <row r="129" spans="1:11" ht="29" x14ac:dyDescent="0.35">
      <c r="A129" s="3">
        <v>128</v>
      </c>
      <c r="B129" s="68" t="s">
        <v>125</v>
      </c>
      <c r="C129" s="69">
        <v>25.42</v>
      </c>
      <c r="D129" s="164">
        <v>9.1000000000000004E-3</v>
      </c>
      <c r="E129" s="69">
        <f t="shared" si="3"/>
        <v>25.188678000000003</v>
      </c>
      <c r="F129" s="70">
        <v>3</v>
      </c>
      <c r="G129" s="71" t="s">
        <v>14</v>
      </c>
      <c r="H129" s="69">
        <f t="shared" si="4"/>
        <v>76.260000000000005</v>
      </c>
      <c r="I129" s="69">
        <f t="shared" si="5"/>
        <v>75.566034000000002</v>
      </c>
      <c r="J129" s="72" t="s">
        <v>119</v>
      </c>
      <c r="K129" s="73">
        <v>45979</v>
      </c>
    </row>
    <row r="130" spans="1:11" x14ac:dyDescent="0.35">
      <c r="A130" s="3">
        <v>129</v>
      </c>
      <c r="B130" s="72" t="s">
        <v>130</v>
      </c>
      <c r="C130" s="69">
        <v>40.93</v>
      </c>
      <c r="D130" s="164">
        <v>9.1000000000000004E-3</v>
      </c>
      <c r="E130" s="69">
        <f t="shared" si="3"/>
        <v>40.557536999999996</v>
      </c>
      <c r="F130" s="70">
        <v>3</v>
      </c>
      <c r="G130" s="71" t="s">
        <v>14</v>
      </c>
      <c r="H130" s="69">
        <f t="shared" si="4"/>
        <v>122.78999999999999</v>
      </c>
      <c r="I130" s="69">
        <f t="shared" si="5"/>
        <v>121.67261099999999</v>
      </c>
      <c r="J130" s="72" t="s">
        <v>119</v>
      </c>
      <c r="K130" s="73">
        <v>45979</v>
      </c>
    </row>
    <row r="131" spans="1:11" x14ac:dyDescent="0.35">
      <c r="A131" s="3">
        <v>130</v>
      </c>
      <c r="B131" s="72" t="s">
        <v>134</v>
      </c>
      <c r="C131" s="69">
        <v>3</v>
      </c>
      <c r="D131" s="164">
        <v>9.1000000000000004E-3</v>
      </c>
      <c r="E131" s="69">
        <f t="shared" ref="E131:E194" si="6">C131*(1-D131)</f>
        <v>2.9727000000000001</v>
      </c>
      <c r="F131" s="70">
        <v>2</v>
      </c>
      <c r="G131" s="71" t="s">
        <v>14</v>
      </c>
      <c r="H131" s="69">
        <f t="shared" ref="H131:H194" si="7">C131*F131</f>
        <v>6</v>
      </c>
      <c r="I131" s="69">
        <f t="shared" ref="I131:I194" si="8">E131*F131</f>
        <v>5.9454000000000002</v>
      </c>
      <c r="J131" s="72" t="s">
        <v>119</v>
      </c>
      <c r="K131" s="73">
        <v>45979</v>
      </c>
    </row>
    <row r="132" spans="1:11" ht="29" x14ac:dyDescent="0.35">
      <c r="A132" s="3">
        <v>131</v>
      </c>
      <c r="B132" s="68" t="s">
        <v>141</v>
      </c>
      <c r="C132" s="69">
        <v>100</v>
      </c>
      <c r="D132" s="164">
        <v>9.1000000000000004E-3</v>
      </c>
      <c r="E132" s="69">
        <f t="shared" si="6"/>
        <v>99.09</v>
      </c>
      <c r="F132" s="70">
        <v>1</v>
      </c>
      <c r="G132" s="71" t="s">
        <v>14</v>
      </c>
      <c r="H132" s="69">
        <f t="shared" si="7"/>
        <v>100</v>
      </c>
      <c r="I132" s="69">
        <f t="shared" si="8"/>
        <v>99.09</v>
      </c>
      <c r="J132" s="72" t="s">
        <v>119</v>
      </c>
      <c r="K132" s="73">
        <v>45979</v>
      </c>
    </row>
    <row r="133" spans="1:11" ht="29" x14ac:dyDescent="0.35">
      <c r="A133" s="3">
        <v>132</v>
      </c>
      <c r="B133" s="68" t="s">
        <v>142</v>
      </c>
      <c r="C133" s="69">
        <v>325</v>
      </c>
      <c r="D133" s="164">
        <v>9.1000000000000004E-3</v>
      </c>
      <c r="E133" s="69">
        <f t="shared" si="6"/>
        <v>322.04250000000002</v>
      </c>
      <c r="F133" s="70">
        <v>2</v>
      </c>
      <c r="G133" s="71" t="s">
        <v>14</v>
      </c>
      <c r="H133" s="69">
        <f t="shared" si="7"/>
        <v>650</v>
      </c>
      <c r="I133" s="69">
        <f t="shared" si="8"/>
        <v>644.08500000000004</v>
      </c>
      <c r="J133" s="72" t="s">
        <v>119</v>
      </c>
      <c r="K133" s="73">
        <v>45979</v>
      </c>
    </row>
    <row r="134" spans="1:11" x14ac:dyDescent="0.35">
      <c r="A134" s="3">
        <v>133</v>
      </c>
      <c r="B134" s="72" t="s">
        <v>143</v>
      </c>
      <c r="C134" s="69">
        <v>45</v>
      </c>
      <c r="D134" s="164">
        <v>9.1000000000000004E-3</v>
      </c>
      <c r="E134" s="69">
        <f t="shared" si="6"/>
        <v>44.590499999999999</v>
      </c>
      <c r="F134" s="70">
        <v>2</v>
      </c>
      <c r="G134" s="71" t="s">
        <v>14</v>
      </c>
      <c r="H134" s="69">
        <f t="shared" si="7"/>
        <v>90</v>
      </c>
      <c r="I134" s="69">
        <f t="shared" si="8"/>
        <v>89.180999999999997</v>
      </c>
      <c r="J134" s="72" t="s">
        <v>119</v>
      </c>
      <c r="K134" s="73">
        <v>45979</v>
      </c>
    </row>
    <row r="135" spans="1:11" x14ac:dyDescent="0.35">
      <c r="A135" s="3">
        <v>134</v>
      </c>
      <c r="B135" s="72" t="s">
        <v>144</v>
      </c>
      <c r="C135" s="69">
        <v>6</v>
      </c>
      <c r="D135" s="164">
        <v>9.1000000000000004E-3</v>
      </c>
      <c r="E135" s="69">
        <f t="shared" si="6"/>
        <v>5.9454000000000002</v>
      </c>
      <c r="F135" s="70">
        <v>2</v>
      </c>
      <c r="G135" s="71" t="s">
        <v>14</v>
      </c>
      <c r="H135" s="69">
        <f t="shared" si="7"/>
        <v>12</v>
      </c>
      <c r="I135" s="69">
        <f t="shared" si="8"/>
        <v>11.8908</v>
      </c>
      <c r="J135" s="72" t="s">
        <v>119</v>
      </c>
      <c r="K135" s="73">
        <v>45979</v>
      </c>
    </row>
    <row r="136" spans="1:11" ht="29" x14ac:dyDescent="0.35">
      <c r="A136" s="3">
        <v>135</v>
      </c>
      <c r="B136" s="74" t="s">
        <v>146</v>
      </c>
      <c r="C136" s="75">
        <v>379.8</v>
      </c>
      <c r="D136" s="165">
        <v>0.41860000000000003</v>
      </c>
      <c r="E136" s="75">
        <f t="shared" si="6"/>
        <v>220.81571999999997</v>
      </c>
      <c r="F136" s="76">
        <v>3</v>
      </c>
      <c r="G136" s="77" t="s">
        <v>14</v>
      </c>
      <c r="H136" s="75">
        <f t="shared" si="7"/>
        <v>1139.4000000000001</v>
      </c>
      <c r="I136" s="75">
        <f t="shared" si="8"/>
        <v>662.44715999999994</v>
      </c>
      <c r="J136" s="78" t="s">
        <v>145</v>
      </c>
      <c r="K136" s="79">
        <v>45863</v>
      </c>
    </row>
    <row r="137" spans="1:11" ht="29" x14ac:dyDescent="0.35">
      <c r="A137" s="3">
        <v>136</v>
      </c>
      <c r="B137" s="74" t="s">
        <v>147</v>
      </c>
      <c r="C137" s="75">
        <v>83.333299999999994</v>
      </c>
      <c r="D137" s="165">
        <v>0</v>
      </c>
      <c r="E137" s="75">
        <f t="shared" si="6"/>
        <v>83.333299999999994</v>
      </c>
      <c r="F137" s="76">
        <v>1</v>
      </c>
      <c r="G137" s="77" t="s">
        <v>14</v>
      </c>
      <c r="H137" s="75">
        <f t="shared" si="7"/>
        <v>83.333299999999994</v>
      </c>
      <c r="I137" s="75">
        <f t="shared" si="8"/>
        <v>83.333299999999994</v>
      </c>
      <c r="J137" s="78" t="s">
        <v>145</v>
      </c>
      <c r="K137" s="79">
        <v>45863</v>
      </c>
    </row>
    <row r="138" spans="1:11" ht="29" x14ac:dyDescent="0.35">
      <c r="A138" s="3">
        <v>137</v>
      </c>
      <c r="B138" s="80" t="s">
        <v>149</v>
      </c>
      <c r="C138" s="81">
        <v>1750</v>
      </c>
      <c r="D138" s="166">
        <v>0.55000000000000004</v>
      </c>
      <c r="E138" s="81">
        <f t="shared" si="6"/>
        <v>787.49999999999989</v>
      </c>
      <c r="F138" s="82">
        <v>1</v>
      </c>
      <c r="G138" s="83" t="s">
        <v>14</v>
      </c>
      <c r="H138" s="81">
        <f t="shared" si="7"/>
        <v>1750</v>
      </c>
      <c r="I138" s="81">
        <f t="shared" si="8"/>
        <v>787.49999999999989</v>
      </c>
      <c r="J138" s="84" t="s">
        <v>148</v>
      </c>
      <c r="K138" s="85">
        <v>45846</v>
      </c>
    </row>
    <row r="139" spans="1:11" ht="29" x14ac:dyDescent="0.35">
      <c r="A139" s="3">
        <v>138</v>
      </c>
      <c r="B139" s="27" t="s">
        <v>151</v>
      </c>
      <c r="C139" s="28">
        <v>132168.4</v>
      </c>
      <c r="D139" s="157">
        <v>0.6</v>
      </c>
      <c r="E139" s="28">
        <f t="shared" si="6"/>
        <v>52867.360000000001</v>
      </c>
      <c r="F139" s="29">
        <v>1</v>
      </c>
      <c r="G139" s="30" t="s">
        <v>14</v>
      </c>
      <c r="H139" s="28">
        <f t="shared" si="7"/>
        <v>132168.4</v>
      </c>
      <c r="I139" s="28">
        <f t="shared" si="8"/>
        <v>52867.360000000001</v>
      </c>
      <c r="J139" s="54" t="s">
        <v>150</v>
      </c>
      <c r="K139" s="31">
        <v>45874</v>
      </c>
    </row>
    <row r="140" spans="1:11" x14ac:dyDescent="0.35">
      <c r="A140" s="3">
        <v>139</v>
      </c>
      <c r="B140" s="54" t="s">
        <v>152</v>
      </c>
      <c r="C140" s="28">
        <v>1.68</v>
      </c>
      <c r="D140" s="157">
        <v>0.6</v>
      </c>
      <c r="E140" s="28">
        <f t="shared" si="6"/>
        <v>0.67200000000000004</v>
      </c>
      <c r="F140" s="29">
        <v>200</v>
      </c>
      <c r="G140" s="30" t="s">
        <v>14</v>
      </c>
      <c r="H140" s="28">
        <f t="shared" si="7"/>
        <v>336</v>
      </c>
      <c r="I140" s="28">
        <f t="shared" si="8"/>
        <v>134.4</v>
      </c>
      <c r="J140" s="54" t="s">
        <v>150</v>
      </c>
      <c r="K140" s="31">
        <v>45874</v>
      </c>
    </row>
    <row r="141" spans="1:11" x14ac:dyDescent="0.35">
      <c r="A141" s="3">
        <v>140</v>
      </c>
      <c r="B141" s="54" t="s">
        <v>153</v>
      </c>
      <c r="C141" s="28">
        <v>1.75</v>
      </c>
      <c r="D141" s="157">
        <v>0.6</v>
      </c>
      <c r="E141" s="28">
        <f t="shared" si="6"/>
        <v>0.70000000000000007</v>
      </c>
      <c r="F141" s="29">
        <v>200</v>
      </c>
      <c r="G141" s="30" t="s">
        <v>14</v>
      </c>
      <c r="H141" s="28">
        <f t="shared" si="7"/>
        <v>350</v>
      </c>
      <c r="I141" s="28">
        <f t="shared" si="8"/>
        <v>140</v>
      </c>
      <c r="J141" s="54" t="s">
        <v>150</v>
      </c>
      <c r="K141" s="31">
        <v>45874</v>
      </c>
    </row>
    <row r="142" spans="1:11" ht="29" x14ac:dyDescent="0.35">
      <c r="A142" s="3">
        <v>141</v>
      </c>
      <c r="B142" s="27" t="s">
        <v>154</v>
      </c>
      <c r="C142" s="28">
        <v>0.55000000000000004</v>
      </c>
      <c r="D142" s="157">
        <v>0.6</v>
      </c>
      <c r="E142" s="28">
        <f t="shared" si="6"/>
        <v>0.22000000000000003</v>
      </c>
      <c r="F142" s="29">
        <v>100</v>
      </c>
      <c r="G142" s="30" t="s">
        <v>14</v>
      </c>
      <c r="H142" s="28">
        <f t="shared" si="7"/>
        <v>55.000000000000007</v>
      </c>
      <c r="I142" s="28">
        <f t="shared" si="8"/>
        <v>22.000000000000004</v>
      </c>
      <c r="J142" s="54" t="s">
        <v>150</v>
      </c>
      <c r="K142" s="31">
        <v>45874</v>
      </c>
    </row>
    <row r="143" spans="1:11" ht="29" x14ac:dyDescent="0.35">
      <c r="A143" s="3">
        <v>142</v>
      </c>
      <c r="B143" s="27" t="s">
        <v>155</v>
      </c>
      <c r="C143" s="28">
        <v>1.3</v>
      </c>
      <c r="D143" s="157">
        <v>0.6</v>
      </c>
      <c r="E143" s="28">
        <f t="shared" si="6"/>
        <v>0.52</v>
      </c>
      <c r="F143" s="29">
        <v>100</v>
      </c>
      <c r="G143" s="30" t="s">
        <v>14</v>
      </c>
      <c r="H143" s="28">
        <f t="shared" si="7"/>
        <v>130</v>
      </c>
      <c r="I143" s="28">
        <f t="shared" si="8"/>
        <v>52</v>
      </c>
      <c r="J143" s="54" t="s">
        <v>150</v>
      </c>
      <c r="K143" s="31">
        <v>45874</v>
      </c>
    </row>
    <row r="144" spans="1:11" x14ac:dyDescent="0.35">
      <c r="A144" s="3">
        <v>143</v>
      </c>
      <c r="B144" s="55" t="s">
        <v>156</v>
      </c>
      <c r="C144" s="56">
        <v>153.32060000000001</v>
      </c>
      <c r="D144" s="162">
        <v>0.6</v>
      </c>
      <c r="E144" s="56">
        <f t="shared" si="6"/>
        <v>61.328240000000008</v>
      </c>
      <c r="F144" s="57">
        <v>12</v>
      </c>
      <c r="G144" s="58" t="s">
        <v>14</v>
      </c>
      <c r="H144" s="56">
        <f t="shared" si="7"/>
        <v>1839.8472000000002</v>
      </c>
      <c r="I144" s="56">
        <f t="shared" si="8"/>
        <v>735.93888000000015</v>
      </c>
      <c r="J144" s="55" t="s">
        <v>150</v>
      </c>
      <c r="K144" s="59">
        <v>45889</v>
      </c>
    </row>
    <row r="145" spans="1:11" x14ac:dyDescent="0.35">
      <c r="A145" s="3">
        <v>144</v>
      </c>
      <c r="B145" s="55" t="s">
        <v>157</v>
      </c>
      <c r="C145" s="56">
        <v>40.8855</v>
      </c>
      <c r="D145" s="162">
        <v>0.6</v>
      </c>
      <c r="E145" s="56">
        <f t="shared" si="6"/>
        <v>16.354200000000002</v>
      </c>
      <c r="F145" s="57">
        <v>30</v>
      </c>
      <c r="G145" s="58" t="s">
        <v>14</v>
      </c>
      <c r="H145" s="56">
        <f t="shared" si="7"/>
        <v>1226.5650000000001</v>
      </c>
      <c r="I145" s="56">
        <f t="shared" si="8"/>
        <v>490.62600000000009</v>
      </c>
      <c r="J145" s="55" t="s">
        <v>150</v>
      </c>
      <c r="K145" s="59">
        <v>45889</v>
      </c>
    </row>
    <row r="146" spans="1:11" x14ac:dyDescent="0.35">
      <c r="A146" s="3">
        <v>145</v>
      </c>
      <c r="B146" s="55" t="s">
        <v>158</v>
      </c>
      <c r="C146" s="56">
        <v>40.8855</v>
      </c>
      <c r="D146" s="162">
        <v>0.6</v>
      </c>
      <c r="E146" s="56">
        <f t="shared" si="6"/>
        <v>16.354200000000002</v>
      </c>
      <c r="F146" s="57">
        <v>20</v>
      </c>
      <c r="G146" s="58" t="s">
        <v>14</v>
      </c>
      <c r="H146" s="56">
        <f t="shared" si="7"/>
        <v>817.71</v>
      </c>
      <c r="I146" s="56">
        <f t="shared" si="8"/>
        <v>327.08400000000006</v>
      </c>
      <c r="J146" s="55" t="s">
        <v>150</v>
      </c>
      <c r="K146" s="59">
        <v>45889</v>
      </c>
    </row>
    <row r="147" spans="1:11" x14ac:dyDescent="0.35">
      <c r="A147" s="3">
        <v>146</v>
      </c>
      <c r="B147" s="61" t="s">
        <v>159</v>
      </c>
      <c r="C147" s="50">
        <v>1000</v>
      </c>
      <c r="D147" s="161">
        <v>0.2</v>
      </c>
      <c r="E147" s="50">
        <f t="shared" si="6"/>
        <v>800</v>
      </c>
      <c r="F147" s="51">
        <v>1</v>
      </c>
      <c r="G147" s="52" t="s">
        <v>14</v>
      </c>
      <c r="H147" s="50">
        <f t="shared" si="7"/>
        <v>1000</v>
      </c>
      <c r="I147" s="50">
        <f t="shared" si="8"/>
        <v>800</v>
      </c>
      <c r="J147" s="61" t="s">
        <v>150</v>
      </c>
      <c r="K147" s="53">
        <v>46284</v>
      </c>
    </row>
    <row r="148" spans="1:11" x14ac:dyDescent="0.35">
      <c r="A148" s="3">
        <v>147</v>
      </c>
      <c r="B148" s="61" t="s">
        <v>160</v>
      </c>
      <c r="C148" s="50">
        <v>750</v>
      </c>
      <c r="D148" s="161">
        <v>0.2</v>
      </c>
      <c r="E148" s="50">
        <f t="shared" si="6"/>
        <v>600</v>
      </c>
      <c r="F148" s="51">
        <v>1</v>
      </c>
      <c r="G148" s="52" t="s">
        <v>14</v>
      </c>
      <c r="H148" s="50">
        <f t="shared" si="7"/>
        <v>750</v>
      </c>
      <c r="I148" s="50">
        <f t="shared" si="8"/>
        <v>600</v>
      </c>
      <c r="J148" s="61" t="s">
        <v>150</v>
      </c>
      <c r="K148" s="53">
        <v>46284</v>
      </c>
    </row>
    <row r="149" spans="1:11" x14ac:dyDescent="0.35">
      <c r="A149" s="3">
        <v>148</v>
      </c>
      <c r="B149" s="61" t="s">
        <v>161</v>
      </c>
      <c r="C149" s="50">
        <v>139.30000000000001</v>
      </c>
      <c r="D149" s="161">
        <v>0.2</v>
      </c>
      <c r="E149" s="50">
        <f t="shared" si="6"/>
        <v>111.44000000000001</v>
      </c>
      <c r="F149" s="51">
        <v>3</v>
      </c>
      <c r="G149" s="52" t="s">
        <v>14</v>
      </c>
      <c r="H149" s="50">
        <f t="shared" si="7"/>
        <v>417.90000000000003</v>
      </c>
      <c r="I149" s="50">
        <f t="shared" si="8"/>
        <v>334.32000000000005</v>
      </c>
      <c r="J149" s="61" t="s">
        <v>150</v>
      </c>
      <c r="K149" s="53">
        <v>46284</v>
      </c>
    </row>
    <row r="150" spans="1:11" ht="43.5" x14ac:dyDescent="0.35">
      <c r="A150" s="3">
        <v>149</v>
      </c>
      <c r="B150" s="62" t="s">
        <v>162</v>
      </c>
      <c r="C150" s="63">
        <v>10079.4535</v>
      </c>
      <c r="D150" s="163">
        <v>0.43</v>
      </c>
      <c r="E150" s="63">
        <f t="shared" si="6"/>
        <v>5745.2884950000007</v>
      </c>
      <c r="F150" s="64">
        <v>1</v>
      </c>
      <c r="G150" s="65" t="s">
        <v>14</v>
      </c>
      <c r="H150" s="63">
        <f t="shared" si="7"/>
        <v>10079.4535</v>
      </c>
      <c r="I150" s="63">
        <f t="shared" si="8"/>
        <v>5745.2884950000007</v>
      </c>
      <c r="J150" s="66" t="s">
        <v>163</v>
      </c>
      <c r="K150" s="67">
        <v>45923</v>
      </c>
    </row>
    <row r="151" spans="1:11" ht="29" x14ac:dyDescent="0.35">
      <c r="A151" s="3">
        <v>150</v>
      </c>
      <c r="B151" s="68" t="s">
        <v>164</v>
      </c>
      <c r="C151" s="69">
        <v>55</v>
      </c>
      <c r="D151" s="164">
        <v>0</v>
      </c>
      <c r="E151" s="69">
        <f t="shared" si="6"/>
        <v>55</v>
      </c>
      <c r="F151" s="70">
        <v>2</v>
      </c>
      <c r="G151" s="71" t="s">
        <v>14</v>
      </c>
      <c r="H151" s="69">
        <f t="shared" si="7"/>
        <v>110</v>
      </c>
      <c r="I151" s="69">
        <f t="shared" si="8"/>
        <v>110</v>
      </c>
      <c r="J151" s="72" t="s">
        <v>163</v>
      </c>
      <c r="K151" s="73">
        <v>45925</v>
      </c>
    </row>
    <row r="152" spans="1:11" ht="29" x14ac:dyDescent="0.35">
      <c r="A152" s="3">
        <v>151</v>
      </c>
      <c r="B152" s="68" t="s">
        <v>165</v>
      </c>
      <c r="C152" s="69">
        <v>50</v>
      </c>
      <c r="D152" s="164">
        <v>0</v>
      </c>
      <c r="E152" s="69">
        <f t="shared" si="6"/>
        <v>50</v>
      </c>
      <c r="F152" s="70">
        <v>2</v>
      </c>
      <c r="G152" s="71" t="s">
        <v>14</v>
      </c>
      <c r="H152" s="69">
        <f t="shared" si="7"/>
        <v>100</v>
      </c>
      <c r="I152" s="69">
        <f t="shared" si="8"/>
        <v>100</v>
      </c>
      <c r="J152" s="72" t="s">
        <v>163</v>
      </c>
      <c r="K152" s="73">
        <v>45925</v>
      </c>
    </row>
    <row r="153" spans="1:11" x14ac:dyDescent="0.35">
      <c r="A153" s="3">
        <v>152</v>
      </c>
      <c r="B153" s="72" t="s">
        <v>166</v>
      </c>
      <c r="C153" s="69">
        <v>50</v>
      </c>
      <c r="D153" s="164">
        <v>0</v>
      </c>
      <c r="E153" s="69">
        <f t="shared" si="6"/>
        <v>50</v>
      </c>
      <c r="F153" s="70">
        <v>2</v>
      </c>
      <c r="G153" s="71" t="s">
        <v>14</v>
      </c>
      <c r="H153" s="69">
        <f t="shared" si="7"/>
        <v>100</v>
      </c>
      <c r="I153" s="69">
        <f t="shared" si="8"/>
        <v>100</v>
      </c>
      <c r="J153" s="72" t="s">
        <v>163</v>
      </c>
      <c r="K153" s="73">
        <v>45925</v>
      </c>
    </row>
    <row r="154" spans="1:11" ht="29" x14ac:dyDescent="0.35">
      <c r="A154" s="3">
        <v>153</v>
      </c>
      <c r="B154" s="68" t="s">
        <v>167</v>
      </c>
      <c r="C154" s="69">
        <v>55</v>
      </c>
      <c r="D154" s="164">
        <v>0</v>
      </c>
      <c r="E154" s="69">
        <f t="shared" si="6"/>
        <v>55</v>
      </c>
      <c r="F154" s="70">
        <v>2</v>
      </c>
      <c r="G154" s="71" t="s">
        <v>14</v>
      </c>
      <c r="H154" s="69">
        <f t="shared" si="7"/>
        <v>110</v>
      </c>
      <c r="I154" s="69">
        <f t="shared" si="8"/>
        <v>110</v>
      </c>
      <c r="J154" s="72" t="s">
        <v>163</v>
      </c>
      <c r="K154" s="73">
        <v>45925</v>
      </c>
    </row>
    <row r="155" spans="1:11" x14ac:dyDescent="0.35">
      <c r="A155" s="3">
        <v>154</v>
      </c>
      <c r="B155" s="72" t="s">
        <v>168</v>
      </c>
      <c r="C155" s="69">
        <v>18</v>
      </c>
      <c r="D155" s="164">
        <v>0</v>
      </c>
      <c r="E155" s="69">
        <f t="shared" si="6"/>
        <v>18</v>
      </c>
      <c r="F155" s="70">
        <v>8</v>
      </c>
      <c r="G155" s="71" t="s">
        <v>14</v>
      </c>
      <c r="H155" s="69">
        <f t="shared" si="7"/>
        <v>144</v>
      </c>
      <c r="I155" s="69">
        <f t="shared" si="8"/>
        <v>144</v>
      </c>
      <c r="J155" s="72" t="s">
        <v>163</v>
      </c>
      <c r="K155" s="73">
        <v>45925</v>
      </c>
    </row>
    <row r="156" spans="1:11" ht="29" x14ac:dyDescent="0.35">
      <c r="A156" s="3">
        <v>155</v>
      </c>
      <c r="B156" s="68" t="s">
        <v>169</v>
      </c>
      <c r="C156" s="69">
        <v>22</v>
      </c>
      <c r="D156" s="164">
        <v>0</v>
      </c>
      <c r="E156" s="69">
        <f t="shared" si="6"/>
        <v>22</v>
      </c>
      <c r="F156" s="70">
        <v>8</v>
      </c>
      <c r="G156" s="71" t="s">
        <v>14</v>
      </c>
      <c r="H156" s="69">
        <f t="shared" si="7"/>
        <v>176</v>
      </c>
      <c r="I156" s="69">
        <f t="shared" si="8"/>
        <v>176</v>
      </c>
      <c r="J156" s="72" t="s">
        <v>163</v>
      </c>
      <c r="K156" s="73">
        <v>45925</v>
      </c>
    </row>
    <row r="157" spans="1:11" x14ac:dyDescent="0.35">
      <c r="A157" s="3">
        <v>156</v>
      </c>
      <c r="B157" s="72" t="s">
        <v>170</v>
      </c>
      <c r="C157" s="69">
        <v>24</v>
      </c>
      <c r="D157" s="164">
        <v>0</v>
      </c>
      <c r="E157" s="69">
        <f t="shared" si="6"/>
        <v>24</v>
      </c>
      <c r="F157" s="70">
        <v>8</v>
      </c>
      <c r="G157" s="71" t="s">
        <v>14</v>
      </c>
      <c r="H157" s="69">
        <f t="shared" si="7"/>
        <v>192</v>
      </c>
      <c r="I157" s="69">
        <f t="shared" si="8"/>
        <v>192</v>
      </c>
      <c r="J157" s="72" t="s">
        <v>163</v>
      </c>
      <c r="K157" s="73">
        <v>45925</v>
      </c>
    </row>
    <row r="158" spans="1:11" ht="29" x14ac:dyDescent="0.35">
      <c r="A158" s="3">
        <v>157</v>
      </c>
      <c r="B158" s="68" t="s">
        <v>171</v>
      </c>
      <c r="C158" s="69">
        <v>28</v>
      </c>
      <c r="D158" s="164">
        <v>0</v>
      </c>
      <c r="E158" s="69">
        <f t="shared" si="6"/>
        <v>28</v>
      </c>
      <c r="F158" s="70">
        <v>8</v>
      </c>
      <c r="G158" s="71" t="s">
        <v>14</v>
      </c>
      <c r="H158" s="69">
        <f t="shared" si="7"/>
        <v>224</v>
      </c>
      <c r="I158" s="69">
        <f t="shared" si="8"/>
        <v>224</v>
      </c>
      <c r="J158" s="72" t="s">
        <v>163</v>
      </c>
      <c r="K158" s="73">
        <v>45925</v>
      </c>
    </row>
    <row r="159" spans="1:11" x14ac:dyDescent="0.35">
      <c r="A159" s="3">
        <v>158</v>
      </c>
      <c r="B159" s="72" t="s">
        <v>172</v>
      </c>
      <c r="C159" s="69">
        <v>50</v>
      </c>
      <c r="D159" s="164">
        <v>0</v>
      </c>
      <c r="E159" s="69">
        <f t="shared" si="6"/>
        <v>50</v>
      </c>
      <c r="F159" s="70">
        <v>10.25</v>
      </c>
      <c r="G159" s="71" t="s">
        <v>173</v>
      </c>
      <c r="H159" s="69">
        <f t="shared" si="7"/>
        <v>512.5</v>
      </c>
      <c r="I159" s="69">
        <f t="shared" si="8"/>
        <v>512.5</v>
      </c>
      <c r="J159" s="72" t="s">
        <v>163</v>
      </c>
      <c r="K159" s="73">
        <v>45925</v>
      </c>
    </row>
    <row r="160" spans="1:11" ht="29" x14ac:dyDescent="0.35">
      <c r="A160" s="3">
        <v>159</v>
      </c>
      <c r="B160" s="68" t="s">
        <v>174</v>
      </c>
      <c r="C160" s="69">
        <v>140</v>
      </c>
      <c r="D160" s="164">
        <v>0</v>
      </c>
      <c r="E160" s="69">
        <f t="shared" si="6"/>
        <v>140</v>
      </c>
      <c r="F160" s="70">
        <v>12</v>
      </c>
      <c r="G160" s="71" t="s">
        <v>14</v>
      </c>
      <c r="H160" s="69">
        <f t="shared" si="7"/>
        <v>1680</v>
      </c>
      <c r="I160" s="69">
        <f t="shared" si="8"/>
        <v>1680</v>
      </c>
      <c r="J160" s="72" t="s">
        <v>163</v>
      </c>
      <c r="K160" s="73">
        <v>45925</v>
      </c>
    </row>
    <row r="161" spans="1:11" ht="29" x14ac:dyDescent="0.35">
      <c r="A161" s="3">
        <v>160</v>
      </c>
      <c r="B161" s="68" t="s">
        <v>175</v>
      </c>
      <c r="C161" s="69">
        <v>7</v>
      </c>
      <c r="D161" s="164">
        <v>0</v>
      </c>
      <c r="E161" s="69">
        <f t="shared" si="6"/>
        <v>7</v>
      </c>
      <c r="F161" s="70">
        <v>12</v>
      </c>
      <c r="G161" s="71" t="s">
        <v>14</v>
      </c>
      <c r="H161" s="69">
        <f t="shared" si="7"/>
        <v>84</v>
      </c>
      <c r="I161" s="69">
        <f t="shared" si="8"/>
        <v>84</v>
      </c>
      <c r="J161" s="72" t="s">
        <v>163</v>
      </c>
      <c r="K161" s="73">
        <v>45925</v>
      </c>
    </row>
    <row r="162" spans="1:11" ht="29" x14ac:dyDescent="0.35">
      <c r="A162" s="3">
        <v>161</v>
      </c>
      <c r="B162" s="68" t="s">
        <v>176</v>
      </c>
      <c r="C162" s="69">
        <v>12</v>
      </c>
      <c r="D162" s="164">
        <v>0</v>
      </c>
      <c r="E162" s="69">
        <f t="shared" si="6"/>
        <v>12</v>
      </c>
      <c r="F162" s="70">
        <v>4</v>
      </c>
      <c r="G162" s="71" t="s">
        <v>14</v>
      </c>
      <c r="H162" s="69">
        <f t="shared" si="7"/>
        <v>48</v>
      </c>
      <c r="I162" s="69">
        <f t="shared" si="8"/>
        <v>48</v>
      </c>
      <c r="J162" s="72" t="s">
        <v>163</v>
      </c>
      <c r="K162" s="73">
        <v>45925</v>
      </c>
    </row>
    <row r="163" spans="1:11" ht="29" x14ac:dyDescent="0.35">
      <c r="A163" s="3">
        <v>162</v>
      </c>
      <c r="B163" s="68" t="s">
        <v>177</v>
      </c>
      <c r="C163" s="69">
        <v>522</v>
      </c>
      <c r="D163" s="164">
        <v>0</v>
      </c>
      <c r="E163" s="69">
        <f t="shared" si="6"/>
        <v>522</v>
      </c>
      <c r="F163" s="70">
        <v>4</v>
      </c>
      <c r="G163" s="71" t="s">
        <v>14</v>
      </c>
      <c r="H163" s="69">
        <f t="shared" si="7"/>
        <v>2088</v>
      </c>
      <c r="I163" s="69">
        <f t="shared" si="8"/>
        <v>2088</v>
      </c>
      <c r="J163" s="72" t="s">
        <v>163</v>
      </c>
      <c r="K163" s="73">
        <v>45925</v>
      </c>
    </row>
    <row r="164" spans="1:11" x14ac:dyDescent="0.35">
      <c r="A164" s="3">
        <v>163</v>
      </c>
      <c r="B164" s="78" t="s">
        <v>178</v>
      </c>
      <c r="C164" s="75">
        <v>180</v>
      </c>
      <c r="D164" s="165">
        <v>0</v>
      </c>
      <c r="E164" s="75">
        <f t="shared" si="6"/>
        <v>180</v>
      </c>
      <c r="F164" s="76">
        <v>10</v>
      </c>
      <c r="G164" s="77" t="s">
        <v>14</v>
      </c>
      <c r="H164" s="75">
        <f t="shared" si="7"/>
        <v>1800</v>
      </c>
      <c r="I164" s="75">
        <f t="shared" si="8"/>
        <v>1800</v>
      </c>
      <c r="J164" s="78" t="s">
        <v>163</v>
      </c>
      <c r="K164" s="79">
        <v>45953</v>
      </c>
    </row>
    <row r="165" spans="1:11" ht="29" x14ac:dyDescent="0.35">
      <c r="A165" s="3">
        <v>164</v>
      </c>
      <c r="B165" s="80" t="s">
        <v>179</v>
      </c>
      <c r="C165" s="81">
        <v>400</v>
      </c>
      <c r="D165" s="166">
        <v>0</v>
      </c>
      <c r="E165" s="81">
        <f t="shared" si="6"/>
        <v>400</v>
      </c>
      <c r="F165" s="82">
        <v>16</v>
      </c>
      <c r="G165" s="83" t="s">
        <v>14</v>
      </c>
      <c r="H165" s="81">
        <f t="shared" si="7"/>
        <v>6400</v>
      </c>
      <c r="I165" s="81">
        <f t="shared" si="8"/>
        <v>6400</v>
      </c>
      <c r="J165" s="84" t="s">
        <v>163</v>
      </c>
      <c r="K165" s="85">
        <v>45976</v>
      </c>
    </row>
    <row r="166" spans="1:11" x14ac:dyDescent="0.35">
      <c r="A166" s="3">
        <v>165</v>
      </c>
      <c r="B166" s="54" t="s">
        <v>180</v>
      </c>
      <c r="C166" s="28">
        <v>14.17</v>
      </c>
      <c r="D166" s="157">
        <v>0</v>
      </c>
      <c r="E166" s="28">
        <f t="shared" si="6"/>
        <v>14.17</v>
      </c>
      <c r="F166" s="29">
        <v>50</v>
      </c>
      <c r="G166" s="30" t="s">
        <v>13</v>
      </c>
      <c r="H166" s="28">
        <f t="shared" si="7"/>
        <v>708.5</v>
      </c>
      <c r="I166" s="28">
        <f t="shared" si="8"/>
        <v>708.5</v>
      </c>
      <c r="J166" s="54" t="s">
        <v>181</v>
      </c>
      <c r="K166" s="31">
        <v>45925</v>
      </c>
    </row>
    <row r="167" spans="1:11" x14ac:dyDescent="0.35">
      <c r="A167" s="3">
        <v>166</v>
      </c>
      <c r="B167" s="54" t="s">
        <v>182</v>
      </c>
      <c r="C167" s="28">
        <v>37.5</v>
      </c>
      <c r="D167" s="157">
        <v>0</v>
      </c>
      <c r="E167" s="28">
        <f t="shared" si="6"/>
        <v>37.5</v>
      </c>
      <c r="F167" s="29">
        <v>120</v>
      </c>
      <c r="G167" s="30" t="s">
        <v>13</v>
      </c>
      <c r="H167" s="28">
        <f t="shared" si="7"/>
        <v>4500</v>
      </c>
      <c r="I167" s="28">
        <f t="shared" si="8"/>
        <v>4500</v>
      </c>
      <c r="J167" s="54" t="s">
        <v>181</v>
      </c>
      <c r="K167" s="31">
        <v>45925</v>
      </c>
    </row>
    <row r="168" spans="1:11" ht="29" x14ac:dyDescent="0.35">
      <c r="A168" s="3">
        <v>167</v>
      </c>
      <c r="B168" s="86" t="s">
        <v>183</v>
      </c>
      <c r="C168" s="87" t="s">
        <v>184</v>
      </c>
      <c r="D168" s="167">
        <v>0</v>
      </c>
      <c r="E168" s="87" t="s">
        <v>184</v>
      </c>
      <c r="F168" s="88">
        <v>116</v>
      </c>
      <c r="G168" s="89" t="s">
        <v>14</v>
      </c>
      <c r="H168" s="87" t="s">
        <v>494</v>
      </c>
      <c r="I168" s="87" t="s">
        <v>494</v>
      </c>
      <c r="J168" s="90" t="s">
        <v>193</v>
      </c>
      <c r="K168" s="91">
        <v>45904</v>
      </c>
    </row>
    <row r="169" spans="1:11" x14ac:dyDescent="0.35">
      <c r="A169" s="3">
        <v>168</v>
      </c>
      <c r="B169" s="90" t="s">
        <v>185</v>
      </c>
      <c r="C169" s="87" t="s">
        <v>186</v>
      </c>
      <c r="D169" s="167">
        <v>0</v>
      </c>
      <c r="E169" s="87" t="s">
        <v>186</v>
      </c>
      <c r="F169" s="88">
        <v>476</v>
      </c>
      <c r="G169" s="89" t="s">
        <v>14</v>
      </c>
      <c r="H169" s="87" t="s">
        <v>494</v>
      </c>
      <c r="I169" s="87" t="s">
        <v>494</v>
      </c>
      <c r="J169" s="90" t="s">
        <v>193</v>
      </c>
      <c r="K169" s="91">
        <v>45904</v>
      </c>
    </row>
    <row r="170" spans="1:11" x14ac:dyDescent="0.35">
      <c r="A170" s="3">
        <v>169</v>
      </c>
      <c r="B170" s="90" t="s">
        <v>187</v>
      </c>
      <c r="C170" s="87" t="s">
        <v>188</v>
      </c>
      <c r="D170" s="167">
        <v>0</v>
      </c>
      <c r="E170" s="87" t="s">
        <v>188</v>
      </c>
      <c r="F170" s="88">
        <v>30</v>
      </c>
      <c r="G170" s="89" t="s">
        <v>13</v>
      </c>
      <c r="H170" s="87" t="s">
        <v>495</v>
      </c>
      <c r="I170" s="87" t="s">
        <v>495</v>
      </c>
      <c r="J170" s="90" t="s">
        <v>193</v>
      </c>
      <c r="K170" s="91">
        <v>45904</v>
      </c>
    </row>
    <row r="171" spans="1:11" x14ac:dyDescent="0.35">
      <c r="A171" s="3">
        <v>170</v>
      </c>
      <c r="B171" s="90" t="s">
        <v>189</v>
      </c>
      <c r="C171" s="87" t="s">
        <v>190</v>
      </c>
      <c r="D171" s="167">
        <v>0</v>
      </c>
      <c r="E171" s="87" t="s">
        <v>190</v>
      </c>
      <c r="F171" s="88">
        <v>100</v>
      </c>
      <c r="G171" s="89" t="s">
        <v>14</v>
      </c>
      <c r="H171" s="87" t="s">
        <v>496</v>
      </c>
      <c r="I171" s="87" t="s">
        <v>496</v>
      </c>
      <c r="J171" s="90" t="s">
        <v>193</v>
      </c>
      <c r="K171" s="91">
        <v>45904</v>
      </c>
    </row>
    <row r="172" spans="1:11" x14ac:dyDescent="0.35">
      <c r="A172" s="3">
        <v>171</v>
      </c>
      <c r="B172" s="90" t="s">
        <v>191</v>
      </c>
      <c r="C172" s="87" t="s">
        <v>190</v>
      </c>
      <c r="D172" s="167">
        <v>0</v>
      </c>
      <c r="E172" s="87" t="s">
        <v>190</v>
      </c>
      <c r="F172" s="88">
        <v>8</v>
      </c>
      <c r="G172" s="89" t="s">
        <v>14</v>
      </c>
      <c r="H172" s="87" t="s">
        <v>497</v>
      </c>
      <c r="I172" s="87" t="s">
        <v>497</v>
      </c>
      <c r="J172" s="90" t="s">
        <v>193</v>
      </c>
      <c r="K172" s="91">
        <v>45904</v>
      </c>
    </row>
    <row r="173" spans="1:11" ht="29" x14ac:dyDescent="0.35">
      <c r="A173" s="3">
        <v>172</v>
      </c>
      <c r="B173" s="86" t="s">
        <v>192</v>
      </c>
      <c r="C173" s="87" t="s">
        <v>190</v>
      </c>
      <c r="D173" s="167">
        <v>0</v>
      </c>
      <c r="E173" s="87" t="s">
        <v>190</v>
      </c>
      <c r="F173" s="88">
        <v>8</v>
      </c>
      <c r="G173" s="89" t="s">
        <v>14</v>
      </c>
      <c r="H173" s="87" t="s">
        <v>497</v>
      </c>
      <c r="I173" s="87" t="s">
        <v>497</v>
      </c>
      <c r="J173" s="90" t="s">
        <v>193</v>
      </c>
      <c r="K173" s="91">
        <v>45904</v>
      </c>
    </row>
    <row r="174" spans="1:11" ht="29" x14ac:dyDescent="0.35">
      <c r="A174" s="3">
        <v>173</v>
      </c>
      <c r="B174" s="92" t="s">
        <v>194</v>
      </c>
      <c r="C174" s="93" t="s">
        <v>195</v>
      </c>
      <c r="D174" s="168">
        <v>0</v>
      </c>
      <c r="E174" s="93" t="s">
        <v>195</v>
      </c>
      <c r="F174" s="94">
        <v>10</v>
      </c>
      <c r="G174" s="95" t="s">
        <v>14</v>
      </c>
      <c r="H174" s="93" t="s">
        <v>498</v>
      </c>
      <c r="I174" s="93" t="s">
        <v>498</v>
      </c>
      <c r="J174" s="96" t="s">
        <v>193</v>
      </c>
      <c r="K174" s="97">
        <v>46006</v>
      </c>
    </row>
    <row r="175" spans="1:11" x14ac:dyDescent="0.35">
      <c r="A175" s="3">
        <v>174</v>
      </c>
      <c r="B175" s="96" t="s">
        <v>185</v>
      </c>
      <c r="C175" s="93" t="s">
        <v>196</v>
      </c>
      <c r="D175" s="168">
        <v>0</v>
      </c>
      <c r="E175" s="93" t="s">
        <v>196</v>
      </c>
      <c r="F175" s="94">
        <v>200</v>
      </c>
      <c r="G175" s="95" t="s">
        <v>14</v>
      </c>
      <c r="H175" s="93" t="s">
        <v>499</v>
      </c>
      <c r="I175" s="93" t="s">
        <v>499</v>
      </c>
      <c r="J175" s="96" t="s">
        <v>193</v>
      </c>
      <c r="K175" s="97">
        <v>46006</v>
      </c>
    </row>
    <row r="176" spans="1:11" ht="29" x14ac:dyDescent="0.35">
      <c r="A176" s="3">
        <v>175</v>
      </c>
      <c r="B176" s="92" t="s">
        <v>197</v>
      </c>
      <c r="C176" s="93" t="s">
        <v>188</v>
      </c>
      <c r="D176" s="168">
        <v>0</v>
      </c>
      <c r="E176" s="93" t="s">
        <v>188</v>
      </c>
      <c r="F176" s="94">
        <v>20</v>
      </c>
      <c r="G176" s="95" t="s">
        <v>13</v>
      </c>
      <c r="H176" s="93" t="s">
        <v>500</v>
      </c>
      <c r="I176" s="93" t="s">
        <v>500</v>
      </c>
      <c r="J176" s="96" t="s">
        <v>193</v>
      </c>
      <c r="K176" s="97">
        <v>46006</v>
      </c>
    </row>
    <row r="177" spans="1:11" x14ac:dyDescent="0.35">
      <c r="A177" s="3">
        <v>176</v>
      </c>
      <c r="B177" s="96" t="s">
        <v>191</v>
      </c>
      <c r="C177" s="93" t="s">
        <v>198</v>
      </c>
      <c r="D177" s="168">
        <v>0</v>
      </c>
      <c r="E177" s="93" t="s">
        <v>198</v>
      </c>
      <c r="F177" s="94">
        <v>32</v>
      </c>
      <c r="G177" s="95" t="s">
        <v>14</v>
      </c>
      <c r="H177" s="93" t="s">
        <v>501</v>
      </c>
      <c r="I177" s="93" t="s">
        <v>501</v>
      </c>
      <c r="J177" s="96" t="s">
        <v>193</v>
      </c>
      <c r="K177" s="97">
        <v>46006</v>
      </c>
    </row>
    <row r="178" spans="1:11" x14ac:dyDescent="0.35">
      <c r="A178" s="3">
        <v>177</v>
      </c>
      <c r="B178" s="96" t="s">
        <v>189</v>
      </c>
      <c r="C178" s="93" t="s">
        <v>198</v>
      </c>
      <c r="D178" s="168">
        <v>0</v>
      </c>
      <c r="E178" s="93" t="s">
        <v>198</v>
      </c>
      <c r="F178" s="94">
        <v>32</v>
      </c>
      <c r="G178" s="95" t="s">
        <v>14</v>
      </c>
      <c r="H178" s="93" t="s">
        <v>501</v>
      </c>
      <c r="I178" s="93" t="s">
        <v>501</v>
      </c>
      <c r="J178" s="96" t="s">
        <v>193</v>
      </c>
      <c r="K178" s="97">
        <v>46006</v>
      </c>
    </row>
    <row r="179" spans="1:11" x14ac:dyDescent="0.35">
      <c r="A179" s="3">
        <v>178</v>
      </c>
      <c r="B179" s="98" t="s">
        <v>199</v>
      </c>
      <c r="C179" s="99">
        <v>958.33330000000001</v>
      </c>
      <c r="D179" s="169">
        <v>0</v>
      </c>
      <c r="E179" s="99">
        <f t="shared" si="6"/>
        <v>958.33330000000001</v>
      </c>
      <c r="F179" s="100">
        <v>2</v>
      </c>
      <c r="G179" s="101" t="s">
        <v>14</v>
      </c>
      <c r="H179" s="99">
        <f t="shared" si="7"/>
        <v>1916.6666</v>
      </c>
      <c r="I179" s="99">
        <f t="shared" si="8"/>
        <v>1916.6666</v>
      </c>
      <c r="J179" s="98" t="s">
        <v>203</v>
      </c>
      <c r="K179" s="102">
        <v>45873</v>
      </c>
    </row>
    <row r="180" spans="1:11" ht="29" x14ac:dyDescent="0.35">
      <c r="A180" s="3">
        <v>179</v>
      </c>
      <c r="B180" s="103" t="s">
        <v>200</v>
      </c>
      <c r="C180" s="99">
        <v>91.666600000000003</v>
      </c>
      <c r="D180" s="169">
        <v>0</v>
      </c>
      <c r="E180" s="99">
        <f t="shared" si="6"/>
        <v>91.666600000000003</v>
      </c>
      <c r="F180" s="100">
        <v>1</v>
      </c>
      <c r="G180" s="101" t="s">
        <v>14</v>
      </c>
      <c r="H180" s="99">
        <f t="shared" si="7"/>
        <v>91.666600000000003</v>
      </c>
      <c r="I180" s="99">
        <f t="shared" si="8"/>
        <v>91.666600000000003</v>
      </c>
      <c r="J180" s="98" t="s">
        <v>203</v>
      </c>
      <c r="K180" s="102">
        <v>45873</v>
      </c>
    </row>
    <row r="181" spans="1:11" x14ac:dyDescent="0.35">
      <c r="A181" s="3">
        <v>180</v>
      </c>
      <c r="B181" s="98" t="s">
        <v>201</v>
      </c>
      <c r="C181" s="99">
        <v>25</v>
      </c>
      <c r="D181" s="169">
        <v>0</v>
      </c>
      <c r="E181" s="99">
        <f t="shared" si="6"/>
        <v>25</v>
      </c>
      <c r="F181" s="100">
        <v>3</v>
      </c>
      <c r="G181" s="101" t="s">
        <v>14</v>
      </c>
      <c r="H181" s="99">
        <f t="shared" si="7"/>
        <v>75</v>
      </c>
      <c r="I181" s="99">
        <f t="shared" si="8"/>
        <v>75</v>
      </c>
      <c r="J181" s="98" t="s">
        <v>203</v>
      </c>
      <c r="K181" s="102">
        <v>45873</v>
      </c>
    </row>
    <row r="182" spans="1:11" x14ac:dyDescent="0.35">
      <c r="A182" s="3">
        <v>181</v>
      </c>
      <c r="B182" s="98" t="s">
        <v>202</v>
      </c>
      <c r="C182" s="99">
        <v>13.333299999999999</v>
      </c>
      <c r="D182" s="169">
        <v>0</v>
      </c>
      <c r="E182" s="99">
        <f t="shared" si="6"/>
        <v>13.333299999999999</v>
      </c>
      <c r="F182" s="100">
        <v>10</v>
      </c>
      <c r="G182" s="101" t="s">
        <v>14</v>
      </c>
      <c r="H182" s="99">
        <f t="shared" si="7"/>
        <v>133.333</v>
      </c>
      <c r="I182" s="99">
        <f t="shared" si="8"/>
        <v>133.333</v>
      </c>
      <c r="J182" s="98" t="s">
        <v>203</v>
      </c>
      <c r="K182" s="102">
        <v>45873</v>
      </c>
    </row>
    <row r="183" spans="1:11" ht="43.5" x14ac:dyDescent="0.35">
      <c r="A183" s="3">
        <v>182</v>
      </c>
      <c r="B183" s="104" t="s">
        <v>204</v>
      </c>
      <c r="C183" s="105">
        <v>1655.97</v>
      </c>
      <c r="D183" s="170">
        <v>0</v>
      </c>
      <c r="E183" s="105">
        <f t="shared" si="6"/>
        <v>1655.97</v>
      </c>
      <c r="F183" s="106">
        <v>2</v>
      </c>
      <c r="G183" s="107" t="s">
        <v>14</v>
      </c>
      <c r="H183" s="105">
        <f t="shared" si="7"/>
        <v>3311.94</v>
      </c>
      <c r="I183" s="105">
        <f t="shared" si="8"/>
        <v>3311.94</v>
      </c>
      <c r="J183" s="108" t="s">
        <v>210</v>
      </c>
      <c r="K183" s="109">
        <v>45943</v>
      </c>
    </row>
    <row r="184" spans="1:11" ht="43.5" x14ac:dyDescent="0.35">
      <c r="A184" s="3">
        <v>183</v>
      </c>
      <c r="B184" s="104" t="s">
        <v>205</v>
      </c>
      <c r="C184" s="105">
        <v>3303.06</v>
      </c>
      <c r="D184" s="170">
        <v>0</v>
      </c>
      <c r="E184" s="105">
        <f t="shared" si="6"/>
        <v>3303.06</v>
      </c>
      <c r="F184" s="106">
        <v>2</v>
      </c>
      <c r="G184" s="107" t="s">
        <v>14</v>
      </c>
      <c r="H184" s="105">
        <f t="shared" si="7"/>
        <v>6606.12</v>
      </c>
      <c r="I184" s="105">
        <f t="shared" si="8"/>
        <v>6606.12</v>
      </c>
      <c r="J184" s="108" t="s">
        <v>210</v>
      </c>
      <c r="K184" s="109">
        <v>45943</v>
      </c>
    </row>
    <row r="185" spans="1:11" ht="58" x14ac:dyDescent="0.35">
      <c r="A185" s="3">
        <v>184</v>
      </c>
      <c r="B185" s="104" t="s">
        <v>206</v>
      </c>
      <c r="C185" s="105">
        <v>1413.76</v>
      </c>
      <c r="D185" s="170">
        <v>0</v>
      </c>
      <c r="E185" s="105">
        <f t="shared" si="6"/>
        <v>1413.76</v>
      </c>
      <c r="F185" s="106">
        <v>4</v>
      </c>
      <c r="G185" s="107" t="s">
        <v>14</v>
      </c>
      <c r="H185" s="105">
        <f t="shared" si="7"/>
        <v>5655.04</v>
      </c>
      <c r="I185" s="105">
        <f t="shared" si="8"/>
        <v>5655.04</v>
      </c>
      <c r="J185" s="108" t="s">
        <v>210</v>
      </c>
      <c r="K185" s="109">
        <v>45943</v>
      </c>
    </row>
    <row r="186" spans="1:11" ht="29" x14ac:dyDescent="0.35">
      <c r="A186" s="3">
        <v>185</v>
      </c>
      <c r="B186" s="104" t="s">
        <v>207</v>
      </c>
      <c r="C186" s="105">
        <v>5047.03</v>
      </c>
      <c r="D186" s="170">
        <v>0</v>
      </c>
      <c r="E186" s="105">
        <f t="shared" si="6"/>
        <v>5047.03</v>
      </c>
      <c r="F186" s="106">
        <v>2</v>
      </c>
      <c r="G186" s="107" t="s">
        <v>14</v>
      </c>
      <c r="H186" s="105">
        <f t="shared" si="7"/>
        <v>10094.06</v>
      </c>
      <c r="I186" s="105">
        <f t="shared" si="8"/>
        <v>10094.06</v>
      </c>
      <c r="J186" s="108" t="s">
        <v>210</v>
      </c>
      <c r="K186" s="109">
        <v>45943</v>
      </c>
    </row>
    <row r="187" spans="1:11" ht="43.5" x14ac:dyDescent="0.35">
      <c r="A187" s="3">
        <v>186</v>
      </c>
      <c r="B187" s="104" t="s">
        <v>208</v>
      </c>
      <c r="C187" s="105">
        <v>213.15</v>
      </c>
      <c r="D187" s="170">
        <v>0</v>
      </c>
      <c r="E187" s="105">
        <f t="shared" si="6"/>
        <v>213.15</v>
      </c>
      <c r="F187" s="106">
        <v>2</v>
      </c>
      <c r="G187" s="107" t="s">
        <v>209</v>
      </c>
      <c r="H187" s="105">
        <f t="shared" si="7"/>
        <v>426.3</v>
      </c>
      <c r="I187" s="105">
        <f t="shared" si="8"/>
        <v>426.3</v>
      </c>
      <c r="J187" s="108" t="s">
        <v>210</v>
      </c>
      <c r="K187" s="109">
        <v>45943</v>
      </c>
    </row>
    <row r="188" spans="1:11" ht="43.5" x14ac:dyDescent="0.35">
      <c r="A188" s="3">
        <v>187</v>
      </c>
      <c r="B188" s="110" t="s">
        <v>205</v>
      </c>
      <c r="C188" s="111">
        <v>3303.06</v>
      </c>
      <c r="D188" s="171">
        <v>0</v>
      </c>
      <c r="E188" s="111">
        <f t="shared" si="6"/>
        <v>3303.06</v>
      </c>
      <c r="F188" s="112">
        <v>1</v>
      </c>
      <c r="G188" s="113" t="s">
        <v>14</v>
      </c>
      <c r="H188" s="111">
        <f t="shared" si="7"/>
        <v>3303.06</v>
      </c>
      <c r="I188" s="111">
        <f t="shared" si="8"/>
        <v>3303.06</v>
      </c>
      <c r="J188" s="114" t="s">
        <v>210</v>
      </c>
      <c r="K188" s="115">
        <v>45952</v>
      </c>
    </row>
    <row r="189" spans="1:11" ht="43.5" x14ac:dyDescent="0.35">
      <c r="A189" s="3">
        <v>188</v>
      </c>
      <c r="B189" s="110" t="s">
        <v>204</v>
      </c>
      <c r="C189" s="111">
        <v>1655.97</v>
      </c>
      <c r="D189" s="171">
        <v>0</v>
      </c>
      <c r="E189" s="111">
        <f t="shared" si="6"/>
        <v>1655.97</v>
      </c>
      <c r="F189" s="112">
        <v>1</v>
      </c>
      <c r="G189" s="113" t="s">
        <v>14</v>
      </c>
      <c r="H189" s="111">
        <f t="shared" si="7"/>
        <v>1655.97</v>
      </c>
      <c r="I189" s="111">
        <f t="shared" si="8"/>
        <v>1655.97</v>
      </c>
      <c r="J189" s="114" t="s">
        <v>210</v>
      </c>
      <c r="K189" s="115">
        <v>45952</v>
      </c>
    </row>
    <row r="190" spans="1:11" ht="58" x14ac:dyDescent="0.35">
      <c r="A190" s="3">
        <v>189</v>
      </c>
      <c r="B190" s="110" t="s">
        <v>206</v>
      </c>
      <c r="C190" s="111">
        <v>1413.76</v>
      </c>
      <c r="D190" s="171">
        <v>0</v>
      </c>
      <c r="E190" s="111">
        <f t="shared" si="6"/>
        <v>1413.76</v>
      </c>
      <c r="F190" s="112">
        <v>2</v>
      </c>
      <c r="G190" s="113" t="s">
        <v>14</v>
      </c>
      <c r="H190" s="111">
        <f t="shared" si="7"/>
        <v>2827.52</v>
      </c>
      <c r="I190" s="111">
        <f t="shared" si="8"/>
        <v>2827.52</v>
      </c>
      <c r="J190" s="114" t="s">
        <v>210</v>
      </c>
      <c r="K190" s="115">
        <v>45952</v>
      </c>
    </row>
    <row r="191" spans="1:11" ht="29" x14ac:dyDescent="0.35">
      <c r="A191" s="3">
        <v>190</v>
      </c>
      <c r="B191" s="110" t="s">
        <v>207</v>
      </c>
      <c r="C191" s="111">
        <v>5047.03</v>
      </c>
      <c r="D191" s="171">
        <v>0</v>
      </c>
      <c r="E191" s="111">
        <f t="shared" si="6"/>
        <v>5047.03</v>
      </c>
      <c r="F191" s="112">
        <v>1</v>
      </c>
      <c r="G191" s="113" t="s">
        <v>14</v>
      </c>
      <c r="H191" s="111">
        <f t="shared" si="7"/>
        <v>5047.03</v>
      </c>
      <c r="I191" s="111">
        <f t="shared" si="8"/>
        <v>5047.03</v>
      </c>
      <c r="J191" s="114" t="s">
        <v>210</v>
      </c>
      <c r="K191" s="115">
        <v>45952</v>
      </c>
    </row>
    <row r="192" spans="1:11" ht="29" x14ac:dyDescent="0.35">
      <c r="A192" s="3">
        <v>191</v>
      </c>
      <c r="B192" s="116" t="s">
        <v>211</v>
      </c>
      <c r="C192" s="117">
        <v>1152.4000000000001</v>
      </c>
      <c r="D192" s="172">
        <v>0</v>
      </c>
      <c r="E192" s="117">
        <f t="shared" si="6"/>
        <v>1152.4000000000001</v>
      </c>
      <c r="F192" s="118">
        <v>135</v>
      </c>
      <c r="G192" s="119" t="s">
        <v>13</v>
      </c>
      <c r="H192" s="117">
        <f t="shared" si="7"/>
        <v>155574</v>
      </c>
      <c r="I192" s="117">
        <f t="shared" si="8"/>
        <v>155574</v>
      </c>
      <c r="J192" s="120" t="s">
        <v>216</v>
      </c>
      <c r="K192" s="121">
        <v>46009</v>
      </c>
    </row>
    <row r="193" spans="1:11" ht="29" x14ac:dyDescent="0.35">
      <c r="A193" s="3">
        <v>192</v>
      </c>
      <c r="B193" s="116" t="s">
        <v>212</v>
      </c>
      <c r="C193" s="117">
        <v>33.700000000000003</v>
      </c>
      <c r="D193" s="172">
        <v>0</v>
      </c>
      <c r="E193" s="117">
        <f t="shared" si="6"/>
        <v>33.700000000000003</v>
      </c>
      <c r="F193" s="118">
        <v>100</v>
      </c>
      <c r="G193" s="119" t="s">
        <v>14</v>
      </c>
      <c r="H193" s="117">
        <f t="shared" si="7"/>
        <v>3370.0000000000005</v>
      </c>
      <c r="I193" s="117">
        <f t="shared" si="8"/>
        <v>3370.0000000000005</v>
      </c>
      <c r="J193" s="120" t="s">
        <v>216</v>
      </c>
      <c r="K193" s="121">
        <v>46009</v>
      </c>
    </row>
    <row r="194" spans="1:11" ht="29" x14ac:dyDescent="0.35">
      <c r="A194" s="3">
        <v>193</v>
      </c>
      <c r="B194" s="116" t="s">
        <v>213</v>
      </c>
      <c r="C194" s="117">
        <v>33.700000000000003</v>
      </c>
      <c r="D194" s="172">
        <v>0</v>
      </c>
      <c r="E194" s="117">
        <f t="shared" si="6"/>
        <v>33.700000000000003</v>
      </c>
      <c r="F194" s="118">
        <v>100</v>
      </c>
      <c r="G194" s="119" t="s">
        <v>14</v>
      </c>
      <c r="H194" s="117">
        <f t="shared" si="7"/>
        <v>3370.0000000000005</v>
      </c>
      <c r="I194" s="117">
        <f t="shared" si="8"/>
        <v>3370.0000000000005</v>
      </c>
      <c r="J194" s="120" t="s">
        <v>216</v>
      </c>
      <c r="K194" s="121">
        <v>46009</v>
      </c>
    </row>
    <row r="195" spans="1:11" ht="29" x14ac:dyDescent="0.35">
      <c r="A195" s="3">
        <v>194</v>
      </c>
      <c r="B195" s="116" t="s">
        <v>214</v>
      </c>
      <c r="C195" s="117">
        <v>21</v>
      </c>
      <c r="D195" s="172">
        <v>0</v>
      </c>
      <c r="E195" s="117">
        <f t="shared" ref="E195:E258" si="9">C195*(1-D195)</f>
        <v>21</v>
      </c>
      <c r="F195" s="118">
        <v>3</v>
      </c>
      <c r="G195" s="119" t="s">
        <v>14</v>
      </c>
      <c r="H195" s="117">
        <f t="shared" ref="H195:H258" si="10">C195*F195</f>
        <v>63</v>
      </c>
      <c r="I195" s="117">
        <f t="shared" ref="I195:I258" si="11">E195*F195</f>
        <v>63</v>
      </c>
      <c r="J195" s="120" t="s">
        <v>216</v>
      </c>
      <c r="K195" s="121">
        <v>46009</v>
      </c>
    </row>
    <row r="196" spans="1:11" ht="29" x14ac:dyDescent="0.35">
      <c r="A196" s="3">
        <v>195</v>
      </c>
      <c r="B196" s="116" t="s">
        <v>215</v>
      </c>
      <c r="C196" s="117">
        <v>31</v>
      </c>
      <c r="D196" s="172">
        <v>0</v>
      </c>
      <c r="E196" s="117">
        <f t="shared" si="9"/>
        <v>31</v>
      </c>
      <c r="F196" s="118">
        <v>3</v>
      </c>
      <c r="G196" s="119" t="s">
        <v>14</v>
      </c>
      <c r="H196" s="117">
        <f t="shared" si="10"/>
        <v>93</v>
      </c>
      <c r="I196" s="117">
        <f t="shared" si="11"/>
        <v>93</v>
      </c>
      <c r="J196" s="120" t="s">
        <v>216</v>
      </c>
      <c r="K196" s="121">
        <v>46009</v>
      </c>
    </row>
    <row r="197" spans="1:11" ht="43.5" x14ac:dyDescent="0.35">
      <c r="A197" s="3">
        <v>196</v>
      </c>
      <c r="B197" s="122" t="s">
        <v>217</v>
      </c>
      <c r="C197" s="123">
        <v>1932.32</v>
      </c>
      <c r="D197" s="173">
        <v>0.7</v>
      </c>
      <c r="E197" s="123">
        <f t="shared" si="9"/>
        <v>579.69600000000003</v>
      </c>
      <c r="F197" s="124">
        <v>1</v>
      </c>
      <c r="G197" s="125" t="s">
        <v>14</v>
      </c>
      <c r="H197" s="123">
        <f t="shared" si="10"/>
        <v>1932.32</v>
      </c>
      <c r="I197" s="123">
        <f t="shared" si="11"/>
        <v>579.69600000000003</v>
      </c>
      <c r="J197" s="126" t="s">
        <v>220</v>
      </c>
      <c r="K197" s="127">
        <v>46006</v>
      </c>
    </row>
    <row r="198" spans="1:11" ht="43.5" x14ac:dyDescent="0.35">
      <c r="A198" s="3">
        <v>197</v>
      </c>
      <c r="B198" s="122" t="s">
        <v>218</v>
      </c>
      <c r="C198" s="123">
        <v>2881.95</v>
      </c>
      <c r="D198" s="173">
        <v>0.7</v>
      </c>
      <c r="E198" s="123">
        <f t="shared" si="9"/>
        <v>864.58500000000004</v>
      </c>
      <c r="F198" s="124">
        <v>1</v>
      </c>
      <c r="G198" s="125" t="s">
        <v>14</v>
      </c>
      <c r="H198" s="123">
        <f t="shared" si="10"/>
        <v>2881.95</v>
      </c>
      <c r="I198" s="123">
        <f t="shared" si="11"/>
        <v>864.58500000000004</v>
      </c>
      <c r="J198" s="126" t="s">
        <v>220</v>
      </c>
      <c r="K198" s="127">
        <v>46006</v>
      </c>
    </row>
    <row r="199" spans="1:11" ht="43.5" x14ac:dyDescent="0.35">
      <c r="A199" s="3">
        <v>198</v>
      </c>
      <c r="B199" s="122" t="s">
        <v>219</v>
      </c>
      <c r="C199" s="123">
        <v>247.8</v>
      </c>
      <c r="D199" s="173">
        <v>0.7</v>
      </c>
      <c r="E199" s="123">
        <f t="shared" si="9"/>
        <v>74.340000000000018</v>
      </c>
      <c r="F199" s="124">
        <v>4</v>
      </c>
      <c r="G199" s="125" t="s">
        <v>14</v>
      </c>
      <c r="H199" s="123">
        <f t="shared" si="10"/>
        <v>991.2</v>
      </c>
      <c r="I199" s="123">
        <f t="shared" si="11"/>
        <v>297.36000000000007</v>
      </c>
      <c r="J199" s="126" t="s">
        <v>220</v>
      </c>
      <c r="K199" s="127">
        <v>46006</v>
      </c>
    </row>
    <row r="200" spans="1:11" ht="29" x14ac:dyDescent="0.35">
      <c r="A200" s="3">
        <v>199</v>
      </c>
      <c r="B200" s="128" t="s">
        <v>221</v>
      </c>
      <c r="C200" s="129">
        <v>3816</v>
      </c>
      <c r="D200" s="174">
        <v>0</v>
      </c>
      <c r="E200" s="129">
        <f t="shared" si="9"/>
        <v>3816</v>
      </c>
      <c r="F200" s="130">
        <v>4</v>
      </c>
      <c r="G200" s="131" t="s">
        <v>14</v>
      </c>
      <c r="H200" s="129">
        <f t="shared" si="10"/>
        <v>15264</v>
      </c>
      <c r="I200" s="129">
        <f t="shared" si="11"/>
        <v>15264</v>
      </c>
      <c r="J200" s="132" t="s">
        <v>222</v>
      </c>
      <c r="K200" s="133">
        <v>45881</v>
      </c>
    </row>
    <row r="201" spans="1:11" ht="58" x14ac:dyDescent="0.35">
      <c r="A201" s="3">
        <v>200</v>
      </c>
      <c r="B201" s="128" t="s">
        <v>223</v>
      </c>
      <c r="C201" s="129">
        <v>15850</v>
      </c>
      <c r="D201" s="174">
        <v>0</v>
      </c>
      <c r="E201" s="129">
        <f t="shared" si="9"/>
        <v>15850</v>
      </c>
      <c r="F201" s="130">
        <v>1</v>
      </c>
      <c r="G201" s="131" t="s">
        <v>14</v>
      </c>
      <c r="H201" s="129">
        <f t="shared" si="10"/>
        <v>15850</v>
      </c>
      <c r="I201" s="129">
        <f t="shared" si="11"/>
        <v>15850</v>
      </c>
      <c r="J201" s="132" t="s">
        <v>222</v>
      </c>
      <c r="K201" s="133">
        <v>45881</v>
      </c>
    </row>
    <row r="202" spans="1:11" ht="43.5" x14ac:dyDescent="0.35">
      <c r="A202" s="3">
        <v>201</v>
      </c>
      <c r="B202" s="49" t="s">
        <v>224</v>
      </c>
      <c r="C202" s="50">
        <v>350</v>
      </c>
      <c r="D202" s="161">
        <v>0</v>
      </c>
      <c r="E202" s="50">
        <f t="shared" si="9"/>
        <v>350</v>
      </c>
      <c r="F202" s="51">
        <v>2</v>
      </c>
      <c r="G202" s="52" t="s">
        <v>14</v>
      </c>
      <c r="H202" s="50">
        <f t="shared" si="10"/>
        <v>700</v>
      </c>
      <c r="I202" s="50">
        <f t="shared" si="11"/>
        <v>700</v>
      </c>
      <c r="J202" s="61" t="s">
        <v>222</v>
      </c>
      <c r="K202" s="53">
        <v>45901</v>
      </c>
    </row>
    <row r="203" spans="1:11" ht="58" x14ac:dyDescent="0.35">
      <c r="A203" s="3">
        <v>202</v>
      </c>
      <c r="B203" s="49" t="s">
        <v>225</v>
      </c>
      <c r="C203" s="50">
        <v>320</v>
      </c>
      <c r="D203" s="161">
        <v>0</v>
      </c>
      <c r="E203" s="50">
        <f t="shared" si="9"/>
        <v>320</v>
      </c>
      <c r="F203" s="51">
        <v>1</v>
      </c>
      <c r="G203" s="52" t="s">
        <v>14</v>
      </c>
      <c r="H203" s="50">
        <f t="shared" si="10"/>
        <v>320</v>
      </c>
      <c r="I203" s="50">
        <f t="shared" si="11"/>
        <v>320</v>
      </c>
      <c r="J203" s="61" t="s">
        <v>222</v>
      </c>
      <c r="K203" s="53">
        <v>45901</v>
      </c>
    </row>
    <row r="204" spans="1:11" ht="72.5" x14ac:dyDescent="0.35">
      <c r="A204" s="3">
        <v>203</v>
      </c>
      <c r="B204" s="62" t="s">
        <v>226</v>
      </c>
      <c r="C204" s="63">
        <v>5784</v>
      </c>
      <c r="D204" s="163">
        <v>0</v>
      </c>
      <c r="E204" s="63">
        <f t="shared" si="9"/>
        <v>5784</v>
      </c>
      <c r="F204" s="64">
        <v>2</v>
      </c>
      <c r="G204" s="65" t="s">
        <v>14</v>
      </c>
      <c r="H204" s="63">
        <f t="shared" si="10"/>
        <v>11568</v>
      </c>
      <c r="I204" s="63">
        <f t="shared" si="11"/>
        <v>11568</v>
      </c>
      <c r="J204" s="66" t="s">
        <v>222</v>
      </c>
      <c r="K204" s="67">
        <v>45919</v>
      </c>
    </row>
    <row r="205" spans="1:11" ht="43.5" x14ac:dyDescent="0.35">
      <c r="A205" s="3">
        <v>204</v>
      </c>
      <c r="B205" s="62" t="s">
        <v>227</v>
      </c>
      <c r="C205" s="63">
        <v>1360</v>
      </c>
      <c r="D205" s="163">
        <v>0</v>
      </c>
      <c r="E205" s="63">
        <f t="shared" si="9"/>
        <v>1360</v>
      </c>
      <c r="F205" s="64">
        <v>1</v>
      </c>
      <c r="G205" s="65" t="s">
        <v>14</v>
      </c>
      <c r="H205" s="63">
        <f t="shared" si="10"/>
        <v>1360</v>
      </c>
      <c r="I205" s="63">
        <f t="shared" si="11"/>
        <v>1360</v>
      </c>
      <c r="J205" s="66" t="s">
        <v>222</v>
      </c>
      <c r="K205" s="67">
        <v>45919</v>
      </c>
    </row>
    <row r="206" spans="1:11" ht="43.5" x14ac:dyDescent="0.35">
      <c r="A206" s="3">
        <v>205</v>
      </c>
      <c r="B206" s="62" t="s">
        <v>228</v>
      </c>
      <c r="C206" s="63">
        <v>1960</v>
      </c>
      <c r="D206" s="163">
        <v>0</v>
      </c>
      <c r="E206" s="63">
        <f t="shared" si="9"/>
        <v>1960</v>
      </c>
      <c r="F206" s="64">
        <v>1</v>
      </c>
      <c r="G206" s="65" t="s">
        <v>14</v>
      </c>
      <c r="H206" s="63">
        <f t="shared" si="10"/>
        <v>1960</v>
      </c>
      <c r="I206" s="63">
        <f t="shared" si="11"/>
        <v>1960</v>
      </c>
      <c r="J206" s="66" t="s">
        <v>222</v>
      </c>
      <c r="K206" s="67">
        <v>45919</v>
      </c>
    </row>
    <row r="207" spans="1:11" x14ac:dyDescent="0.35">
      <c r="A207" s="3">
        <v>206</v>
      </c>
      <c r="B207" s="55" t="s">
        <v>229</v>
      </c>
      <c r="C207" s="56">
        <v>5589</v>
      </c>
      <c r="D207" s="162">
        <v>0.71</v>
      </c>
      <c r="E207" s="56">
        <f t="shared" si="9"/>
        <v>1620.8100000000002</v>
      </c>
      <c r="F207" s="57">
        <v>2</v>
      </c>
      <c r="G207" s="58" t="s">
        <v>14</v>
      </c>
      <c r="H207" s="56">
        <f t="shared" si="10"/>
        <v>11178</v>
      </c>
      <c r="I207" s="56">
        <f t="shared" si="11"/>
        <v>3241.6200000000003</v>
      </c>
      <c r="J207" s="55" t="s">
        <v>242</v>
      </c>
      <c r="K207" s="59">
        <v>45853</v>
      </c>
    </row>
    <row r="208" spans="1:11" x14ac:dyDescent="0.35">
      <c r="A208" s="3">
        <v>207</v>
      </c>
      <c r="B208" s="55" t="s">
        <v>230</v>
      </c>
      <c r="C208" s="56">
        <v>5112</v>
      </c>
      <c r="D208" s="162">
        <v>0.71</v>
      </c>
      <c r="E208" s="56">
        <f t="shared" si="9"/>
        <v>1482.4800000000002</v>
      </c>
      <c r="F208" s="57">
        <v>1</v>
      </c>
      <c r="G208" s="58" t="s">
        <v>14</v>
      </c>
      <c r="H208" s="56">
        <f t="shared" si="10"/>
        <v>5112</v>
      </c>
      <c r="I208" s="56">
        <f t="shared" si="11"/>
        <v>1482.4800000000002</v>
      </c>
      <c r="J208" s="55" t="s">
        <v>242</v>
      </c>
      <c r="K208" s="59">
        <v>45853</v>
      </c>
    </row>
    <row r="209" spans="1:11" ht="43.5" x14ac:dyDescent="0.35">
      <c r="A209" s="3">
        <v>208</v>
      </c>
      <c r="B209" s="60" t="s">
        <v>231</v>
      </c>
      <c r="C209" s="56">
        <v>12664</v>
      </c>
      <c r="D209" s="162">
        <v>0.71</v>
      </c>
      <c r="E209" s="56">
        <f t="shared" si="9"/>
        <v>3672.5600000000004</v>
      </c>
      <c r="F209" s="57">
        <v>1</v>
      </c>
      <c r="G209" s="58" t="s">
        <v>14</v>
      </c>
      <c r="H209" s="56">
        <f t="shared" si="10"/>
        <v>12664</v>
      </c>
      <c r="I209" s="56">
        <f t="shared" si="11"/>
        <v>3672.5600000000004</v>
      </c>
      <c r="J209" s="55" t="s">
        <v>242</v>
      </c>
      <c r="K209" s="59">
        <v>45853</v>
      </c>
    </row>
    <row r="210" spans="1:11" x14ac:dyDescent="0.35">
      <c r="A210" s="3">
        <v>209</v>
      </c>
      <c r="B210" s="55" t="s">
        <v>232</v>
      </c>
      <c r="C210" s="56">
        <v>144.96</v>
      </c>
      <c r="D210" s="162">
        <v>0.54</v>
      </c>
      <c r="E210" s="56">
        <f t="shared" si="9"/>
        <v>66.681600000000003</v>
      </c>
      <c r="F210" s="57">
        <v>1</v>
      </c>
      <c r="G210" s="58" t="s">
        <v>14</v>
      </c>
      <c r="H210" s="56">
        <f t="shared" si="10"/>
        <v>144.96</v>
      </c>
      <c r="I210" s="56">
        <f t="shared" si="11"/>
        <v>66.681600000000003</v>
      </c>
      <c r="J210" s="55" t="s">
        <v>242</v>
      </c>
      <c r="K210" s="59">
        <v>45853</v>
      </c>
    </row>
    <row r="211" spans="1:11" x14ac:dyDescent="0.35">
      <c r="A211" s="3">
        <v>210</v>
      </c>
      <c r="B211" s="55" t="s">
        <v>233</v>
      </c>
      <c r="C211" s="56">
        <v>42.25</v>
      </c>
      <c r="D211" s="162">
        <v>0.54</v>
      </c>
      <c r="E211" s="56">
        <f t="shared" si="9"/>
        <v>19.434999999999999</v>
      </c>
      <c r="F211" s="57">
        <v>1</v>
      </c>
      <c r="G211" s="58" t="s">
        <v>14</v>
      </c>
      <c r="H211" s="56">
        <f t="shared" si="10"/>
        <v>42.25</v>
      </c>
      <c r="I211" s="56">
        <f t="shared" si="11"/>
        <v>19.434999999999999</v>
      </c>
      <c r="J211" s="55" t="s">
        <v>242</v>
      </c>
      <c r="K211" s="59">
        <v>45853</v>
      </c>
    </row>
    <row r="212" spans="1:11" x14ac:dyDescent="0.35">
      <c r="A212" s="3">
        <v>211</v>
      </c>
      <c r="B212" s="55" t="s">
        <v>234</v>
      </c>
      <c r="C212" s="56">
        <v>15.21</v>
      </c>
      <c r="D212" s="162">
        <v>0.54</v>
      </c>
      <c r="E212" s="56">
        <f t="shared" si="9"/>
        <v>6.9965999999999999</v>
      </c>
      <c r="F212" s="57">
        <v>1</v>
      </c>
      <c r="G212" s="58" t="s">
        <v>14</v>
      </c>
      <c r="H212" s="56">
        <f t="shared" si="10"/>
        <v>15.21</v>
      </c>
      <c r="I212" s="56">
        <f t="shared" si="11"/>
        <v>6.9965999999999999</v>
      </c>
      <c r="J212" s="55" t="s">
        <v>242</v>
      </c>
      <c r="K212" s="59">
        <v>45853</v>
      </c>
    </row>
    <row r="213" spans="1:11" ht="43.5" x14ac:dyDescent="0.35">
      <c r="A213" s="3">
        <v>212</v>
      </c>
      <c r="B213" s="60" t="s">
        <v>235</v>
      </c>
      <c r="C213" s="56">
        <v>26167</v>
      </c>
      <c r="D213" s="162">
        <v>0.68</v>
      </c>
      <c r="E213" s="56">
        <f t="shared" si="9"/>
        <v>8373.4399999999987</v>
      </c>
      <c r="F213" s="57">
        <v>1</v>
      </c>
      <c r="G213" s="58" t="s">
        <v>14</v>
      </c>
      <c r="H213" s="56">
        <f t="shared" si="10"/>
        <v>26167</v>
      </c>
      <c r="I213" s="56">
        <f t="shared" si="11"/>
        <v>8373.4399999999987</v>
      </c>
      <c r="J213" s="55" t="s">
        <v>242</v>
      </c>
      <c r="K213" s="59">
        <v>45853</v>
      </c>
    </row>
    <row r="214" spans="1:11" x14ac:dyDescent="0.35">
      <c r="A214" s="3">
        <v>213</v>
      </c>
      <c r="B214" s="55" t="s">
        <v>236</v>
      </c>
      <c r="C214" s="56">
        <v>34.200000000000003</v>
      </c>
      <c r="D214" s="162">
        <v>0.54</v>
      </c>
      <c r="E214" s="56">
        <f t="shared" si="9"/>
        <v>15.731999999999999</v>
      </c>
      <c r="F214" s="57">
        <v>1</v>
      </c>
      <c r="G214" s="58" t="s">
        <v>14</v>
      </c>
      <c r="H214" s="56">
        <f t="shared" si="10"/>
        <v>34.200000000000003</v>
      </c>
      <c r="I214" s="56">
        <f t="shared" si="11"/>
        <v>15.731999999999999</v>
      </c>
      <c r="J214" s="55" t="s">
        <v>242</v>
      </c>
      <c r="K214" s="59">
        <v>45853</v>
      </c>
    </row>
    <row r="215" spans="1:11" x14ac:dyDescent="0.35">
      <c r="A215" s="3">
        <v>214</v>
      </c>
      <c r="B215" s="55" t="s">
        <v>237</v>
      </c>
      <c r="C215" s="56">
        <v>34.200000000000003</v>
      </c>
      <c r="D215" s="162">
        <v>0.54</v>
      </c>
      <c r="E215" s="56">
        <f t="shared" si="9"/>
        <v>15.731999999999999</v>
      </c>
      <c r="F215" s="57">
        <v>1</v>
      </c>
      <c r="G215" s="58" t="s">
        <v>14</v>
      </c>
      <c r="H215" s="56">
        <f t="shared" si="10"/>
        <v>34.200000000000003</v>
      </c>
      <c r="I215" s="56">
        <f t="shared" si="11"/>
        <v>15.731999999999999</v>
      </c>
      <c r="J215" s="55" t="s">
        <v>242</v>
      </c>
      <c r="K215" s="59">
        <v>45853</v>
      </c>
    </row>
    <row r="216" spans="1:11" x14ac:dyDescent="0.35">
      <c r="A216" s="3">
        <v>215</v>
      </c>
      <c r="B216" s="55" t="s">
        <v>238</v>
      </c>
      <c r="C216" s="56">
        <v>34.200000000000003</v>
      </c>
      <c r="D216" s="162">
        <v>0.54</v>
      </c>
      <c r="E216" s="56">
        <f t="shared" si="9"/>
        <v>15.731999999999999</v>
      </c>
      <c r="F216" s="57">
        <v>1</v>
      </c>
      <c r="G216" s="58" t="s">
        <v>14</v>
      </c>
      <c r="H216" s="56">
        <f t="shared" si="10"/>
        <v>34.200000000000003</v>
      </c>
      <c r="I216" s="56">
        <f t="shared" si="11"/>
        <v>15.731999999999999</v>
      </c>
      <c r="J216" s="55" t="s">
        <v>242</v>
      </c>
      <c r="K216" s="59">
        <v>45853</v>
      </c>
    </row>
    <row r="217" spans="1:11" ht="43.5" x14ac:dyDescent="0.35">
      <c r="A217" s="3">
        <v>216</v>
      </c>
      <c r="B217" s="60" t="s">
        <v>239</v>
      </c>
      <c r="C217" s="56">
        <v>124.51</v>
      </c>
      <c r="D217" s="162">
        <v>0.4</v>
      </c>
      <c r="E217" s="56">
        <f t="shared" si="9"/>
        <v>74.706000000000003</v>
      </c>
      <c r="F217" s="57">
        <v>1</v>
      </c>
      <c r="G217" s="58" t="s">
        <v>14</v>
      </c>
      <c r="H217" s="56">
        <f t="shared" si="10"/>
        <v>124.51</v>
      </c>
      <c r="I217" s="56">
        <f t="shared" si="11"/>
        <v>74.706000000000003</v>
      </c>
      <c r="J217" s="55" t="s">
        <v>242</v>
      </c>
      <c r="K217" s="59">
        <v>45853</v>
      </c>
    </row>
    <row r="218" spans="1:11" x14ac:dyDescent="0.35">
      <c r="A218" s="3">
        <v>217</v>
      </c>
      <c r="B218" s="55" t="s">
        <v>240</v>
      </c>
      <c r="C218" s="56">
        <v>218.48</v>
      </c>
      <c r="D218" s="162">
        <v>0.65</v>
      </c>
      <c r="E218" s="56">
        <f t="shared" si="9"/>
        <v>76.467999999999989</v>
      </c>
      <c r="F218" s="57">
        <v>12</v>
      </c>
      <c r="G218" s="58" t="s">
        <v>14</v>
      </c>
      <c r="H218" s="56">
        <f t="shared" si="10"/>
        <v>2621.7599999999998</v>
      </c>
      <c r="I218" s="56">
        <f t="shared" si="11"/>
        <v>917.61599999999987</v>
      </c>
      <c r="J218" s="55" t="s">
        <v>242</v>
      </c>
      <c r="K218" s="59">
        <v>45853</v>
      </c>
    </row>
    <row r="219" spans="1:11" x14ac:dyDescent="0.35">
      <c r="A219" s="3">
        <v>218</v>
      </c>
      <c r="B219" s="55" t="s">
        <v>241</v>
      </c>
      <c r="C219" s="56">
        <v>223.18</v>
      </c>
      <c r="D219" s="162">
        <v>0.65</v>
      </c>
      <c r="E219" s="56">
        <f t="shared" si="9"/>
        <v>78.113</v>
      </c>
      <c r="F219" s="57">
        <v>4</v>
      </c>
      <c r="G219" s="58" t="s">
        <v>14</v>
      </c>
      <c r="H219" s="56">
        <f t="shared" si="10"/>
        <v>892.72</v>
      </c>
      <c r="I219" s="56">
        <f t="shared" si="11"/>
        <v>312.452</v>
      </c>
      <c r="J219" s="55" t="s">
        <v>242</v>
      </c>
      <c r="K219" s="59">
        <v>45853</v>
      </c>
    </row>
    <row r="220" spans="1:11" ht="29" x14ac:dyDescent="0.35">
      <c r="A220" s="3">
        <v>219</v>
      </c>
      <c r="B220" s="110" t="s">
        <v>243</v>
      </c>
      <c r="C220" s="111">
        <v>124.29</v>
      </c>
      <c r="D220" s="171">
        <v>0</v>
      </c>
      <c r="E220" s="111">
        <f t="shared" si="9"/>
        <v>124.29</v>
      </c>
      <c r="F220" s="112">
        <v>4</v>
      </c>
      <c r="G220" s="113" t="s">
        <v>14</v>
      </c>
      <c r="H220" s="111">
        <f t="shared" si="10"/>
        <v>497.16</v>
      </c>
      <c r="I220" s="111">
        <f t="shared" si="11"/>
        <v>497.16</v>
      </c>
      <c r="J220" s="114" t="s">
        <v>242</v>
      </c>
      <c r="K220" s="115">
        <v>45853</v>
      </c>
    </row>
    <row r="221" spans="1:11" ht="29" x14ac:dyDescent="0.35">
      <c r="A221" s="3">
        <v>220</v>
      </c>
      <c r="B221" s="110" t="s">
        <v>244</v>
      </c>
      <c r="C221" s="111">
        <v>124.29</v>
      </c>
      <c r="D221" s="171">
        <v>0</v>
      </c>
      <c r="E221" s="111">
        <f t="shared" si="9"/>
        <v>124.29</v>
      </c>
      <c r="F221" s="112">
        <v>4</v>
      </c>
      <c r="G221" s="113" t="s">
        <v>14</v>
      </c>
      <c r="H221" s="111">
        <f t="shared" si="10"/>
        <v>497.16</v>
      </c>
      <c r="I221" s="111">
        <f t="shared" si="11"/>
        <v>497.16</v>
      </c>
      <c r="J221" s="114" t="s">
        <v>242</v>
      </c>
      <c r="K221" s="115">
        <v>45853</v>
      </c>
    </row>
    <row r="222" spans="1:11" x14ac:dyDescent="0.35">
      <c r="A222" s="3">
        <v>221</v>
      </c>
      <c r="B222" s="134" t="s">
        <v>245</v>
      </c>
      <c r="C222" s="135">
        <v>124.29</v>
      </c>
      <c r="D222" s="175">
        <v>0</v>
      </c>
      <c r="E222" s="135">
        <f t="shared" si="9"/>
        <v>124.29</v>
      </c>
      <c r="F222" s="136">
        <v>4</v>
      </c>
      <c r="G222" s="137" t="s">
        <v>14</v>
      </c>
      <c r="H222" s="135">
        <f t="shared" si="10"/>
        <v>497.16</v>
      </c>
      <c r="I222" s="135">
        <f t="shared" si="11"/>
        <v>497.16</v>
      </c>
      <c r="J222" s="134" t="s">
        <v>242</v>
      </c>
      <c r="K222" s="138">
        <v>45853</v>
      </c>
    </row>
    <row r="223" spans="1:11" x14ac:dyDescent="0.35">
      <c r="A223" s="3">
        <v>222</v>
      </c>
      <c r="B223" s="134" t="s">
        <v>246</v>
      </c>
      <c r="C223" s="135">
        <v>124.29</v>
      </c>
      <c r="D223" s="175">
        <v>0</v>
      </c>
      <c r="E223" s="135">
        <f t="shared" si="9"/>
        <v>124.29</v>
      </c>
      <c r="F223" s="136">
        <v>4</v>
      </c>
      <c r="G223" s="137" t="s">
        <v>14</v>
      </c>
      <c r="H223" s="135">
        <f t="shared" si="10"/>
        <v>497.16</v>
      </c>
      <c r="I223" s="135">
        <f t="shared" si="11"/>
        <v>497.16</v>
      </c>
      <c r="J223" s="134" t="s">
        <v>242</v>
      </c>
      <c r="K223" s="138">
        <v>45853</v>
      </c>
    </row>
    <row r="224" spans="1:11" x14ac:dyDescent="0.35">
      <c r="A224" s="3">
        <v>223</v>
      </c>
      <c r="B224" s="134" t="s">
        <v>247</v>
      </c>
      <c r="C224" s="135">
        <v>3162</v>
      </c>
      <c r="D224" s="175">
        <v>0.68</v>
      </c>
      <c r="E224" s="135">
        <f t="shared" si="9"/>
        <v>1011.8399999999998</v>
      </c>
      <c r="F224" s="136">
        <v>1</v>
      </c>
      <c r="G224" s="137" t="s">
        <v>14</v>
      </c>
      <c r="H224" s="135">
        <f t="shared" si="10"/>
        <v>3162</v>
      </c>
      <c r="I224" s="135">
        <f t="shared" si="11"/>
        <v>1011.8399999999998</v>
      </c>
      <c r="J224" s="134" t="s">
        <v>242</v>
      </c>
      <c r="K224" s="138">
        <v>45853</v>
      </c>
    </row>
    <row r="225" spans="1:11" ht="43.5" x14ac:dyDescent="0.35">
      <c r="A225" s="3">
        <v>224</v>
      </c>
      <c r="B225" s="139" t="s">
        <v>248</v>
      </c>
      <c r="C225" s="135">
        <v>2529</v>
      </c>
      <c r="D225" s="175">
        <v>0.68</v>
      </c>
      <c r="E225" s="135">
        <f t="shared" si="9"/>
        <v>809.27999999999986</v>
      </c>
      <c r="F225" s="136">
        <v>1</v>
      </c>
      <c r="G225" s="137" t="s">
        <v>14</v>
      </c>
      <c r="H225" s="135">
        <f t="shared" si="10"/>
        <v>2529</v>
      </c>
      <c r="I225" s="135">
        <f t="shared" si="11"/>
        <v>809.27999999999986</v>
      </c>
      <c r="J225" s="134" t="s">
        <v>242</v>
      </c>
      <c r="K225" s="138">
        <v>45853</v>
      </c>
    </row>
    <row r="226" spans="1:11" ht="43.5" x14ac:dyDescent="0.35">
      <c r="A226" s="3">
        <v>225</v>
      </c>
      <c r="B226" s="139" t="s">
        <v>249</v>
      </c>
      <c r="C226" s="135">
        <v>3377</v>
      </c>
      <c r="D226" s="175">
        <v>0.68</v>
      </c>
      <c r="E226" s="135">
        <f t="shared" si="9"/>
        <v>1080.6399999999999</v>
      </c>
      <c r="F226" s="136">
        <v>1</v>
      </c>
      <c r="G226" s="137" t="s">
        <v>14</v>
      </c>
      <c r="H226" s="135">
        <f t="shared" si="10"/>
        <v>3377</v>
      </c>
      <c r="I226" s="135">
        <f t="shared" si="11"/>
        <v>1080.6399999999999</v>
      </c>
      <c r="J226" s="134" t="s">
        <v>242</v>
      </c>
      <c r="K226" s="138">
        <v>45853</v>
      </c>
    </row>
    <row r="227" spans="1:11" x14ac:dyDescent="0.35">
      <c r="A227" s="3">
        <v>226</v>
      </c>
      <c r="B227" s="134" t="s">
        <v>250</v>
      </c>
      <c r="C227" s="135">
        <v>7.5</v>
      </c>
      <c r="D227" s="175">
        <v>0</v>
      </c>
      <c r="E227" s="135">
        <f t="shared" si="9"/>
        <v>7.5</v>
      </c>
      <c r="F227" s="136">
        <v>10</v>
      </c>
      <c r="G227" s="137" t="s">
        <v>14</v>
      </c>
      <c r="H227" s="135">
        <f t="shared" si="10"/>
        <v>75</v>
      </c>
      <c r="I227" s="135">
        <f t="shared" si="11"/>
        <v>75</v>
      </c>
      <c r="J227" s="134" t="s">
        <v>242</v>
      </c>
      <c r="K227" s="138">
        <v>45853</v>
      </c>
    </row>
    <row r="228" spans="1:11" x14ac:dyDescent="0.35">
      <c r="A228" s="3">
        <v>227</v>
      </c>
      <c r="B228" s="134" t="s">
        <v>251</v>
      </c>
      <c r="C228" s="135">
        <v>7.5</v>
      </c>
      <c r="D228" s="175">
        <v>0</v>
      </c>
      <c r="E228" s="135">
        <f t="shared" si="9"/>
        <v>7.5</v>
      </c>
      <c r="F228" s="136">
        <v>10</v>
      </c>
      <c r="G228" s="137" t="s">
        <v>14</v>
      </c>
      <c r="H228" s="135">
        <f t="shared" si="10"/>
        <v>75</v>
      </c>
      <c r="I228" s="135">
        <f t="shared" si="11"/>
        <v>75</v>
      </c>
      <c r="J228" s="134" t="s">
        <v>242</v>
      </c>
      <c r="K228" s="138">
        <v>45853</v>
      </c>
    </row>
    <row r="229" spans="1:11" x14ac:dyDescent="0.35">
      <c r="A229" s="3">
        <v>228</v>
      </c>
      <c r="B229" s="134" t="s">
        <v>252</v>
      </c>
      <c r="C229" s="135">
        <v>15</v>
      </c>
      <c r="D229" s="175">
        <v>0</v>
      </c>
      <c r="E229" s="135">
        <f t="shared" si="9"/>
        <v>15</v>
      </c>
      <c r="F229" s="136">
        <v>10</v>
      </c>
      <c r="G229" s="137" t="s">
        <v>14</v>
      </c>
      <c r="H229" s="135">
        <f t="shared" si="10"/>
        <v>150</v>
      </c>
      <c r="I229" s="135">
        <f t="shared" si="11"/>
        <v>150</v>
      </c>
      <c r="J229" s="134" t="s">
        <v>242</v>
      </c>
      <c r="K229" s="138">
        <v>45853</v>
      </c>
    </row>
    <row r="230" spans="1:11" ht="43.5" x14ac:dyDescent="0.35">
      <c r="A230" s="3">
        <v>229</v>
      </c>
      <c r="B230" s="139" t="s">
        <v>253</v>
      </c>
      <c r="C230" s="135">
        <v>15</v>
      </c>
      <c r="D230" s="175">
        <v>0</v>
      </c>
      <c r="E230" s="135">
        <f t="shared" si="9"/>
        <v>15</v>
      </c>
      <c r="F230" s="136">
        <v>10</v>
      </c>
      <c r="G230" s="137" t="s">
        <v>14</v>
      </c>
      <c r="H230" s="135">
        <f t="shared" si="10"/>
        <v>150</v>
      </c>
      <c r="I230" s="135">
        <f t="shared" si="11"/>
        <v>150</v>
      </c>
      <c r="J230" s="134" t="s">
        <v>242</v>
      </c>
      <c r="K230" s="138">
        <v>45853</v>
      </c>
    </row>
    <row r="231" spans="1:11" x14ac:dyDescent="0.35">
      <c r="A231" s="3">
        <v>230</v>
      </c>
      <c r="B231" s="90" t="s">
        <v>254</v>
      </c>
      <c r="C231" s="87">
        <v>2909</v>
      </c>
      <c r="D231" s="167">
        <v>0.71</v>
      </c>
      <c r="E231" s="87">
        <f t="shared" si="9"/>
        <v>843.61000000000013</v>
      </c>
      <c r="F231" s="88">
        <v>1</v>
      </c>
      <c r="G231" s="89" t="s">
        <v>14</v>
      </c>
      <c r="H231" s="87">
        <f t="shared" si="10"/>
        <v>2909</v>
      </c>
      <c r="I231" s="87">
        <f t="shared" si="11"/>
        <v>843.61000000000013</v>
      </c>
      <c r="J231" s="90" t="s">
        <v>242</v>
      </c>
      <c r="K231" s="91">
        <v>45859</v>
      </c>
    </row>
    <row r="232" spans="1:11" x14ac:dyDescent="0.35">
      <c r="A232" s="3">
        <v>231</v>
      </c>
      <c r="B232" s="90" t="s">
        <v>232</v>
      </c>
      <c r="C232" s="87">
        <v>144.96</v>
      </c>
      <c r="D232" s="167">
        <v>0.54</v>
      </c>
      <c r="E232" s="87">
        <f t="shared" si="9"/>
        <v>66.681600000000003</v>
      </c>
      <c r="F232" s="88">
        <v>1</v>
      </c>
      <c r="G232" s="89" t="s">
        <v>14</v>
      </c>
      <c r="H232" s="87">
        <f t="shared" si="10"/>
        <v>144.96</v>
      </c>
      <c r="I232" s="87">
        <f t="shared" si="11"/>
        <v>66.681600000000003</v>
      </c>
      <c r="J232" s="90" t="s">
        <v>242</v>
      </c>
      <c r="K232" s="91">
        <v>45859</v>
      </c>
    </row>
    <row r="233" spans="1:11" x14ac:dyDescent="0.35">
      <c r="A233" s="3">
        <v>232</v>
      </c>
      <c r="B233" s="90" t="s">
        <v>255</v>
      </c>
      <c r="C233" s="87">
        <v>42.25</v>
      </c>
      <c r="D233" s="167">
        <v>0.54</v>
      </c>
      <c r="E233" s="87">
        <f t="shared" si="9"/>
        <v>19.434999999999999</v>
      </c>
      <c r="F233" s="88">
        <v>1</v>
      </c>
      <c r="G233" s="89" t="s">
        <v>14</v>
      </c>
      <c r="H233" s="87">
        <f t="shared" si="10"/>
        <v>42.25</v>
      </c>
      <c r="I233" s="87">
        <f t="shared" si="11"/>
        <v>19.434999999999999</v>
      </c>
      <c r="J233" s="90" t="s">
        <v>242</v>
      </c>
      <c r="K233" s="91">
        <v>45859</v>
      </c>
    </row>
    <row r="234" spans="1:11" ht="29" x14ac:dyDescent="0.35">
      <c r="A234" s="3">
        <v>233</v>
      </c>
      <c r="B234" s="86" t="s">
        <v>256</v>
      </c>
      <c r="C234" s="87">
        <v>34.200000000000003</v>
      </c>
      <c r="D234" s="167">
        <v>0.54</v>
      </c>
      <c r="E234" s="87">
        <f t="shared" si="9"/>
        <v>15.731999999999999</v>
      </c>
      <c r="F234" s="88">
        <v>1</v>
      </c>
      <c r="G234" s="89" t="s">
        <v>14</v>
      </c>
      <c r="H234" s="87">
        <f t="shared" si="10"/>
        <v>34.200000000000003</v>
      </c>
      <c r="I234" s="87">
        <f t="shared" si="11"/>
        <v>15.731999999999999</v>
      </c>
      <c r="J234" s="90" t="s">
        <v>242</v>
      </c>
      <c r="K234" s="91">
        <v>45859</v>
      </c>
    </row>
    <row r="235" spans="1:11" ht="43.5" x14ac:dyDescent="0.35">
      <c r="A235" s="3">
        <v>234</v>
      </c>
      <c r="B235" s="86" t="s">
        <v>257</v>
      </c>
      <c r="C235" s="87">
        <v>34.200000000000003</v>
      </c>
      <c r="D235" s="167">
        <v>0.54</v>
      </c>
      <c r="E235" s="87">
        <f t="shared" si="9"/>
        <v>15.731999999999999</v>
      </c>
      <c r="F235" s="88">
        <v>1</v>
      </c>
      <c r="G235" s="89" t="s">
        <v>14</v>
      </c>
      <c r="H235" s="87">
        <f t="shared" si="10"/>
        <v>34.200000000000003</v>
      </c>
      <c r="I235" s="87">
        <f t="shared" si="11"/>
        <v>15.731999999999999</v>
      </c>
      <c r="J235" s="90" t="s">
        <v>242</v>
      </c>
      <c r="K235" s="91">
        <v>45859</v>
      </c>
    </row>
    <row r="236" spans="1:11" ht="29" x14ac:dyDescent="0.35">
      <c r="A236" s="3">
        <v>235</v>
      </c>
      <c r="B236" s="86" t="s">
        <v>258</v>
      </c>
      <c r="C236" s="87">
        <v>34.200000000000003</v>
      </c>
      <c r="D236" s="167">
        <v>0.54</v>
      </c>
      <c r="E236" s="87">
        <f t="shared" si="9"/>
        <v>15.731999999999999</v>
      </c>
      <c r="F236" s="88">
        <v>1</v>
      </c>
      <c r="G236" s="89" t="s">
        <v>14</v>
      </c>
      <c r="H236" s="87">
        <f t="shared" si="10"/>
        <v>34.200000000000003</v>
      </c>
      <c r="I236" s="87">
        <f t="shared" si="11"/>
        <v>15.731999999999999</v>
      </c>
      <c r="J236" s="90" t="s">
        <v>242</v>
      </c>
      <c r="K236" s="91">
        <v>45859</v>
      </c>
    </row>
    <row r="237" spans="1:11" x14ac:dyDescent="0.35">
      <c r="A237" s="3">
        <v>236</v>
      </c>
      <c r="B237" s="90" t="s">
        <v>259</v>
      </c>
      <c r="C237" s="87">
        <v>4396</v>
      </c>
      <c r="D237" s="167">
        <v>0.5</v>
      </c>
      <c r="E237" s="87">
        <f t="shared" si="9"/>
        <v>2198</v>
      </c>
      <c r="F237" s="88">
        <v>1</v>
      </c>
      <c r="G237" s="89" t="s">
        <v>14</v>
      </c>
      <c r="H237" s="87">
        <f t="shared" si="10"/>
        <v>4396</v>
      </c>
      <c r="I237" s="87">
        <f t="shared" si="11"/>
        <v>2198</v>
      </c>
      <c r="J237" s="90" t="s">
        <v>242</v>
      </c>
      <c r="K237" s="91">
        <v>45859</v>
      </c>
    </row>
    <row r="238" spans="1:11" ht="29" x14ac:dyDescent="0.35">
      <c r="A238" s="3">
        <v>237</v>
      </c>
      <c r="B238" s="92" t="s">
        <v>260</v>
      </c>
      <c r="C238" s="93">
        <v>2909</v>
      </c>
      <c r="D238" s="168">
        <v>0.71</v>
      </c>
      <c r="E238" s="93">
        <f t="shared" si="9"/>
        <v>843.61000000000013</v>
      </c>
      <c r="F238" s="94">
        <v>1</v>
      </c>
      <c r="G238" s="95" t="s">
        <v>14</v>
      </c>
      <c r="H238" s="93">
        <f t="shared" si="10"/>
        <v>2909</v>
      </c>
      <c r="I238" s="93">
        <f t="shared" si="11"/>
        <v>843.61000000000013</v>
      </c>
      <c r="J238" s="96" t="s">
        <v>242</v>
      </c>
      <c r="K238" s="97">
        <v>45869</v>
      </c>
    </row>
    <row r="239" spans="1:11" x14ac:dyDescent="0.35">
      <c r="A239" s="3">
        <v>238</v>
      </c>
      <c r="B239" s="96" t="s">
        <v>261</v>
      </c>
      <c r="C239" s="93">
        <v>10115</v>
      </c>
      <c r="D239" s="168">
        <v>0.71</v>
      </c>
      <c r="E239" s="93">
        <f t="shared" si="9"/>
        <v>2933.3500000000004</v>
      </c>
      <c r="F239" s="94">
        <v>1</v>
      </c>
      <c r="G239" s="95" t="s">
        <v>14</v>
      </c>
      <c r="H239" s="93">
        <f t="shared" si="10"/>
        <v>10115</v>
      </c>
      <c r="I239" s="93">
        <f t="shared" si="11"/>
        <v>2933.3500000000004</v>
      </c>
      <c r="J239" s="96" t="s">
        <v>242</v>
      </c>
      <c r="K239" s="97">
        <v>45869</v>
      </c>
    </row>
    <row r="240" spans="1:11" ht="29" x14ac:dyDescent="0.35">
      <c r="A240" s="3">
        <v>239</v>
      </c>
      <c r="B240" s="62" t="s">
        <v>262</v>
      </c>
      <c r="C240" s="63">
        <v>1600</v>
      </c>
      <c r="D240" s="163">
        <v>0</v>
      </c>
      <c r="E240" s="63">
        <f t="shared" si="9"/>
        <v>1600</v>
      </c>
      <c r="F240" s="64">
        <v>1</v>
      </c>
      <c r="G240" s="65" t="s">
        <v>209</v>
      </c>
      <c r="H240" s="63">
        <f t="shared" si="10"/>
        <v>1600</v>
      </c>
      <c r="I240" s="63">
        <f t="shared" si="11"/>
        <v>1600</v>
      </c>
      <c r="J240" s="66" t="s">
        <v>263</v>
      </c>
      <c r="K240" s="67">
        <v>45930</v>
      </c>
    </row>
    <row r="241" spans="1:11" ht="29" x14ac:dyDescent="0.35">
      <c r="A241" s="3">
        <v>240</v>
      </c>
      <c r="B241" s="104" t="s">
        <v>264</v>
      </c>
      <c r="C241" s="105">
        <v>1400</v>
      </c>
      <c r="D241" s="170">
        <v>0</v>
      </c>
      <c r="E241" s="105">
        <f t="shared" si="9"/>
        <v>1400</v>
      </c>
      <c r="F241" s="106">
        <v>2</v>
      </c>
      <c r="G241" s="107" t="s">
        <v>209</v>
      </c>
      <c r="H241" s="105">
        <f t="shared" si="10"/>
        <v>2800</v>
      </c>
      <c r="I241" s="105">
        <f t="shared" si="11"/>
        <v>2800</v>
      </c>
      <c r="J241" s="108" t="s">
        <v>263</v>
      </c>
      <c r="K241" s="109">
        <v>45982</v>
      </c>
    </row>
    <row r="242" spans="1:11" ht="29" x14ac:dyDescent="0.35">
      <c r="A242" s="3">
        <v>241</v>
      </c>
      <c r="B242" s="122" t="s">
        <v>265</v>
      </c>
      <c r="C242" s="123">
        <v>80</v>
      </c>
      <c r="D242" s="173">
        <v>0</v>
      </c>
      <c r="E242" s="123">
        <f t="shared" si="9"/>
        <v>80</v>
      </c>
      <c r="F242" s="124">
        <v>2</v>
      </c>
      <c r="G242" s="125" t="s">
        <v>14</v>
      </c>
      <c r="H242" s="123">
        <f t="shared" si="10"/>
        <v>160</v>
      </c>
      <c r="I242" s="123">
        <f t="shared" si="11"/>
        <v>160</v>
      </c>
      <c r="J242" s="126" t="s">
        <v>263</v>
      </c>
      <c r="K242" s="127">
        <v>45994</v>
      </c>
    </row>
    <row r="243" spans="1:11" ht="29" x14ac:dyDescent="0.35">
      <c r="A243" s="3">
        <v>242</v>
      </c>
      <c r="B243" s="122" t="s">
        <v>266</v>
      </c>
      <c r="C243" s="123">
        <v>1000</v>
      </c>
      <c r="D243" s="173">
        <v>0</v>
      </c>
      <c r="E243" s="123">
        <f t="shared" si="9"/>
        <v>1000</v>
      </c>
      <c r="F243" s="124">
        <v>1</v>
      </c>
      <c r="G243" s="125" t="s">
        <v>209</v>
      </c>
      <c r="H243" s="123">
        <f t="shared" si="10"/>
        <v>1000</v>
      </c>
      <c r="I243" s="123">
        <f t="shared" si="11"/>
        <v>1000</v>
      </c>
      <c r="J243" s="126" t="s">
        <v>263</v>
      </c>
      <c r="K243" s="127">
        <v>45994</v>
      </c>
    </row>
    <row r="244" spans="1:11" ht="29" x14ac:dyDescent="0.35">
      <c r="A244" s="3">
        <v>243</v>
      </c>
      <c r="B244" s="122" t="s">
        <v>267</v>
      </c>
      <c r="C244" s="123">
        <v>1000</v>
      </c>
      <c r="D244" s="173">
        <v>0</v>
      </c>
      <c r="E244" s="123">
        <f t="shared" si="9"/>
        <v>1000</v>
      </c>
      <c r="F244" s="124">
        <v>1</v>
      </c>
      <c r="G244" s="125" t="s">
        <v>209</v>
      </c>
      <c r="H244" s="123">
        <f t="shared" si="10"/>
        <v>1000</v>
      </c>
      <c r="I244" s="123">
        <f t="shared" si="11"/>
        <v>1000</v>
      </c>
      <c r="J244" s="126" t="s">
        <v>263</v>
      </c>
      <c r="K244" s="127">
        <v>45994</v>
      </c>
    </row>
    <row r="245" spans="1:11" x14ac:dyDescent="0.35">
      <c r="A245" s="3">
        <v>244</v>
      </c>
      <c r="B245" s="90" t="s">
        <v>268</v>
      </c>
      <c r="C245" s="87">
        <v>17896.599999999999</v>
      </c>
      <c r="D245" s="167">
        <v>0</v>
      </c>
      <c r="E245" s="87">
        <f t="shared" si="9"/>
        <v>17896.599999999999</v>
      </c>
      <c r="F245" s="88">
        <v>1</v>
      </c>
      <c r="G245" s="89" t="s">
        <v>14</v>
      </c>
      <c r="H245" s="87">
        <f t="shared" si="10"/>
        <v>17896.599999999999</v>
      </c>
      <c r="I245" s="87">
        <f t="shared" si="11"/>
        <v>17896.599999999999</v>
      </c>
      <c r="J245" s="90" t="s">
        <v>263</v>
      </c>
      <c r="K245" s="91">
        <v>46006</v>
      </c>
    </row>
    <row r="246" spans="1:11" ht="29" x14ac:dyDescent="0.35">
      <c r="A246" s="3">
        <v>245</v>
      </c>
      <c r="B246" s="92" t="s">
        <v>269</v>
      </c>
      <c r="C246" s="93">
        <v>1000</v>
      </c>
      <c r="D246" s="168">
        <v>0</v>
      </c>
      <c r="E246" s="93">
        <f t="shared" si="9"/>
        <v>1000</v>
      </c>
      <c r="F246" s="94">
        <v>1</v>
      </c>
      <c r="G246" s="95" t="s">
        <v>209</v>
      </c>
      <c r="H246" s="93">
        <f t="shared" si="10"/>
        <v>1000</v>
      </c>
      <c r="I246" s="93">
        <f t="shared" si="11"/>
        <v>1000</v>
      </c>
      <c r="J246" s="96" t="s">
        <v>263</v>
      </c>
      <c r="K246" s="97">
        <v>46006</v>
      </c>
    </row>
    <row r="247" spans="1:11" ht="29" x14ac:dyDescent="0.35">
      <c r="A247" s="3">
        <v>246</v>
      </c>
      <c r="B247" s="103" t="s">
        <v>270</v>
      </c>
      <c r="C247" s="99">
        <v>1000</v>
      </c>
      <c r="D247" s="169">
        <v>0</v>
      </c>
      <c r="E247" s="99">
        <f t="shared" si="9"/>
        <v>1000</v>
      </c>
      <c r="F247" s="100">
        <v>1</v>
      </c>
      <c r="G247" s="101" t="s">
        <v>209</v>
      </c>
      <c r="H247" s="99">
        <f t="shared" si="10"/>
        <v>1000</v>
      </c>
      <c r="I247" s="99">
        <f t="shared" si="11"/>
        <v>1000</v>
      </c>
      <c r="J247" s="98" t="s">
        <v>263</v>
      </c>
      <c r="K247" s="102">
        <v>46008</v>
      </c>
    </row>
    <row r="248" spans="1:11" x14ac:dyDescent="0.35">
      <c r="A248" s="3">
        <v>247</v>
      </c>
      <c r="B248" s="38" t="s">
        <v>271</v>
      </c>
      <c r="C248" s="39">
        <v>175</v>
      </c>
      <c r="D248" s="159">
        <v>0</v>
      </c>
      <c r="E248" s="39">
        <f t="shared" si="9"/>
        <v>175</v>
      </c>
      <c r="F248" s="40">
        <v>1</v>
      </c>
      <c r="G248" s="41" t="s">
        <v>14</v>
      </c>
      <c r="H248" s="39">
        <f t="shared" si="10"/>
        <v>175</v>
      </c>
      <c r="I248" s="39">
        <f t="shared" si="11"/>
        <v>175</v>
      </c>
      <c r="J248" s="38" t="s">
        <v>272</v>
      </c>
      <c r="K248" s="43">
        <v>45925</v>
      </c>
    </row>
    <row r="249" spans="1:11" x14ac:dyDescent="0.35">
      <c r="A249" s="3">
        <v>248</v>
      </c>
      <c r="B249" s="38" t="s">
        <v>273</v>
      </c>
      <c r="C249" s="39">
        <v>200</v>
      </c>
      <c r="D249" s="159">
        <v>0</v>
      </c>
      <c r="E249" s="39">
        <f t="shared" si="9"/>
        <v>200</v>
      </c>
      <c r="F249" s="40">
        <v>1</v>
      </c>
      <c r="G249" s="41" t="s">
        <v>14</v>
      </c>
      <c r="H249" s="39">
        <f t="shared" si="10"/>
        <v>200</v>
      </c>
      <c r="I249" s="39">
        <f t="shared" si="11"/>
        <v>200</v>
      </c>
      <c r="J249" s="38" t="s">
        <v>272</v>
      </c>
      <c r="K249" s="43">
        <v>45925</v>
      </c>
    </row>
    <row r="250" spans="1:11" x14ac:dyDescent="0.35">
      <c r="A250" s="3">
        <v>249</v>
      </c>
      <c r="B250" s="90" t="s">
        <v>274</v>
      </c>
      <c r="C250" s="87">
        <v>8.3333399999999997</v>
      </c>
      <c r="D250" s="167">
        <v>0</v>
      </c>
      <c r="E250" s="87">
        <f t="shared" si="9"/>
        <v>8.3333399999999997</v>
      </c>
      <c r="F250" s="88">
        <v>100</v>
      </c>
      <c r="G250" s="89" t="s">
        <v>14</v>
      </c>
      <c r="H250" s="87">
        <f t="shared" si="10"/>
        <v>833.33399999999995</v>
      </c>
      <c r="I250" s="87">
        <f t="shared" si="11"/>
        <v>833.33399999999995</v>
      </c>
      <c r="J250" s="90" t="s">
        <v>275</v>
      </c>
      <c r="K250" s="91">
        <v>45885</v>
      </c>
    </row>
    <row r="251" spans="1:11" ht="29" x14ac:dyDescent="0.35">
      <c r="A251" s="3">
        <v>250</v>
      </c>
      <c r="B251" s="140" t="s">
        <v>277</v>
      </c>
      <c r="C251" s="141">
        <v>27</v>
      </c>
      <c r="D251" s="176">
        <v>0</v>
      </c>
      <c r="E251" s="141">
        <f t="shared" si="9"/>
        <v>27</v>
      </c>
      <c r="F251" s="142">
        <v>500</v>
      </c>
      <c r="G251" s="143" t="s">
        <v>13</v>
      </c>
      <c r="H251" s="141">
        <f t="shared" si="10"/>
        <v>13500</v>
      </c>
      <c r="I251" s="141">
        <f t="shared" si="11"/>
        <v>13500</v>
      </c>
      <c r="J251" s="144" t="s">
        <v>276</v>
      </c>
      <c r="K251" s="145">
        <v>45898</v>
      </c>
    </row>
    <row r="252" spans="1:11" ht="29" x14ac:dyDescent="0.35">
      <c r="A252" s="3">
        <v>251</v>
      </c>
      <c r="B252" s="140" t="s">
        <v>278</v>
      </c>
      <c r="C252" s="141">
        <v>27</v>
      </c>
      <c r="D252" s="176">
        <v>0</v>
      </c>
      <c r="E252" s="141">
        <f t="shared" si="9"/>
        <v>27</v>
      </c>
      <c r="F252" s="142">
        <v>500</v>
      </c>
      <c r="G252" s="143" t="s">
        <v>13</v>
      </c>
      <c r="H252" s="141">
        <f t="shared" si="10"/>
        <v>13500</v>
      </c>
      <c r="I252" s="141">
        <f t="shared" si="11"/>
        <v>13500</v>
      </c>
      <c r="J252" s="144" t="s">
        <v>276</v>
      </c>
      <c r="K252" s="145">
        <v>45898</v>
      </c>
    </row>
    <row r="253" spans="1:11" x14ac:dyDescent="0.35">
      <c r="A253" s="3">
        <v>252</v>
      </c>
      <c r="B253" s="144" t="s">
        <v>279</v>
      </c>
      <c r="C253" s="141">
        <v>2166.66</v>
      </c>
      <c r="D253" s="176">
        <v>0</v>
      </c>
      <c r="E253" s="141">
        <f t="shared" si="9"/>
        <v>2166.66</v>
      </c>
      <c r="F253" s="142">
        <v>1</v>
      </c>
      <c r="G253" s="143" t="s">
        <v>14</v>
      </c>
      <c r="H253" s="141">
        <f t="shared" si="10"/>
        <v>2166.66</v>
      </c>
      <c r="I253" s="141">
        <f t="shared" si="11"/>
        <v>2166.66</v>
      </c>
      <c r="J253" s="144" t="s">
        <v>276</v>
      </c>
      <c r="K253" s="145">
        <v>45898</v>
      </c>
    </row>
    <row r="254" spans="1:11" ht="29" x14ac:dyDescent="0.35">
      <c r="A254" s="3">
        <v>253</v>
      </c>
      <c r="B254" s="139" t="s">
        <v>280</v>
      </c>
      <c r="C254" s="135" t="s">
        <v>281</v>
      </c>
      <c r="D254" s="175">
        <v>0</v>
      </c>
      <c r="E254" s="135" t="s">
        <v>281</v>
      </c>
      <c r="F254" s="136">
        <v>32</v>
      </c>
      <c r="G254" s="137" t="s">
        <v>14</v>
      </c>
      <c r="H254" s="135" t="s">
        <v>502</v>
      </c>
      <c r="I254" s="135" t="s">
        <v>502</v>
      </c>
      <c r="J254" s="134" t="s">
        <v>282</v>
      </c>
      <c r="K254" s="138">
        <v>45908</v>
      </c>
    </row>
    <row r="255" spans="1:11" ht="43.5" x14ac:dyDescent="0.35">
      <c r="A255" s="3">
        <v>254</v>
      </c>
      <c r="B255" s="139" t="s">
        <v>283</v>
      </c>
      <c r="C255" s="135" t="s">
        <v>284</v>
      </c>
      <c r="D255" s="175">
        <v>0</v>
      </c>
      <c r="E255" s="135" t="s">
        <v>284</v>
      </c>
      <c r="F255" s="136">
        <v>1</v>
      </c>
      <c r="G255" s="137" t="s">
        <v>14</v>
      </c>
      <c r="H255" s="135" t="s">
        <v>503</v>
      </c>
      <c r="I255" s="135" t="s">
        <v>503</v>
      </c>
      <c r="J255" s="134" t="s">
        <v>282</v>
      </c>
      <c r="K255" s="138">
        <v>45908</v>
      </c>
    </row>
    <row r="256" spans="1:11" x14ac:dyDescent="0.35">
      <c r="A256" s="3">
        <v>255</v>
      </c>
      <c r="B256" s="134" t="s">
        <v>285</v>
      </c>
      <c r="C256" s="135" t="s">
        <v>286</v>
      </c>
      <c r="D256" s="175">
        <v>0</v>
      </c>
      <c r="E256" s="135" t="s">
        <v>286</v>
      </c>
      <c r="F256" s="136">
        <v>100</v>
      </c>
      <c r="G256" s="137" t="s">
        <v>14</v>
      </c>
      <c r="H256" s="135" t="s">
        <v>287</v>
      </c>
      <c r="I256" s="135" t="s">
        <v>287</v>
      </c>
      <c r="J256" s="134" t="s">
        <v>282</v>
      </c>
      <c r="K256" s="138">
        <v>45908</v>
      </c>
    </row>
    <row r="257" spans="1:11" ht="43.5" x14ac:dyDescent="0.35">
      <c r="A257" s="3">
        <v>256</v>
      </c>
      <c r="B257" s="128" t="s">
        <v>288</v>
      </c>
      <c r="C257" s="129">
        <v>4868.6899999999996</v>
      </c>
      <c r="D257" s="174">
        <v>0</v>
      </c>
      <c r="E257" s="129">
        <f t="shared" si="9"/>
        <v>4868.6899999999996</v>
      </c>
      <c r="F257" s="130">
        <v>1</v>
      </c>
      <c r="G257" s="131" t="s">
        <v>14</v>
      </c>
      <c r="H257" s="129">
        <f t="shared" si="10"/>
        <v>4868.6899999999996</v>
      </c>
      <c r="I257" s="129">
        <f t="shared" si="11"/>
        <v>4868.6899999999996</v>
      </c>
      <c r="J257" s="132" t="s">
        <v>289</v>
      </c>
      <c r="K257" s="133">
        <v>45869</v>
      </c>
    </row>
    <row r="258" spans="1:11" ht="43.5" x14ac:dyDescent="0.35">
      <c r="A258" s="3">
        <v>257</v>
      </c>
      <c r="B258" s="128" t="s">
        <v>290</v>
      </c>
      <c r="C258" s="129">
        <v>20.29</v>
      </c>
      <c r="D258" s="174">
        <v>0</v>
      </c>
      <c r="E258" s="129">
        <f t="shared" si="9"/>
        <v>20.29</v>
      </c>
      <c r="F258" s="130">
        <v>113</v>
      </c>
      <c r="G258" s="131" t="s">
        <v>13</v>
      </c>
      <c r="H258" s="129">
        <f t="shared" si="10"/>
        <v>2292.77</v>
      </c>
      <c r="I258" s="129">
        <f t="shared" si="11"/>
        <v>2292.77</v>
      </c>
      <c r="J258" s="132" t="s">
        <v>289</v>
      </c>
      <c r="K258" s="133">
        <v>45869</v>
      </c>
    </row>
    <row r="259" spans="1:11" ht="29" x14ac:dyDescent="0.35">
      <c r="A259" s="3">
        <v>258</v>
      </c>
      <c r="B259" s="128" t="s">
        <v>291</v>
      </c>
      <c r="C259" s="129">
        <v>284.01</v>
      </c>
      <c r="D259" s="174">
        <v>0</v>
      </c>
      <c r="E259" s="129">
        <f t="shared" ref="E259:E322" si="12">C259*(1-D259)</f>
        <v>284.01</v>
      </c>
      <c r="F259" s="130">
        <v>1</v>
      </c>
      <c r="G259" s="131" t="s">
        <v>14</v>
      </c>
      <c r="H259" s="129">
        <f t="shared" ref="H259:H322" si="13">C259*F259</f>
        <v>284.01</v>
      </c>
      <c r="I259" s="129">
        <f t="shared" ref="I259:I322" si="14">E259*F259</f>
        <v>284.01</v>
      </c>
      <c r="J259" s="132" t="s">
        <v>289</v>
      </c>
      <c r="K259" s="133">
        <v>45869</v>
      </c>
    </row>
    <row r="260" spans="1:11" ht="29" x14ac:dyDescent="0.35">
      <c r="A260" s="3">
        <v>259</v>
      </c>
      <c r="B260" s="92" t="s">
        <v>294</v>
      </c>
      <c r="C260" s="93">
        <v>96</v>
      </c>
      <c r="D260" s="168">
        <v>0</v>
      </c>
      <c r="E260" s="93">
        <f t="shared" si="12"/>
        <v>96</v>
      </c>
      <c r="F260" s="94">
        <v>5</v>
      </c>
      <c r="G260" s="95" t="s">
        <v>13</v>
      </c>
      <c r="H260" s="93">
        <f t="shared" si="13"/>
        <v>480</v>
      </c>
      <c r="I260" s="93">
        <f t="shared" si="14"/>
        <v>480</v>
      </c>
      <c r="J260" s="96" t="s">
        <v>296</v>
      </c>
      <c r="K260" s="97">
        <v>45847</v>
      </c>
    </row>
    <row r="261" spans="1:11" ht="29" x14ac:dyDescent="0.35">
      <c r="A261" s="3">
        <v>260</v>
      </c>
      <c r="B261" s="92" t="s">
        <v>292</v>
      </c>
      <c r="C261" s="93">
        <v>96</v>
      </c>
      <c r="D261" s="168">
        <v>0</v>
      </c>
      <c r="E261" s="93">
        <f t="shared" si="12"/>
        <v>96</v>
      </c>
      <c r="F261" s="94">
        <v>5</v>
      </c>
      <c r="G261" s="95" t="s">
        <v>13</v>
      </c>
      <c r="H261" s="93">
        <f t="shared" si="13"/>
        <v>480</v>
      </c>
      <c r="I261" s="93">
        <f t="shared" si="14"/>
        <v>480</v>
      </c>
      <c r="J261" s="96" t="s">
        <v>296</v>
      </c>
      <c r="K261" s="97">
        <v>45847</v>
      </c>
    </row>
    <row r="262" spans="1:11" ht="29" x14ac:dyDescent="0.35">
      <c r="A262" s="3">
        <v>261</v>
      </c>
      <c r="B262" s="92" t="s">
        <v>293</v>
      </c>
      <c r="C262" s="93">
        <v>96</v>
      </c>
      <c r="D262" s="168">
        <v>0</v>
      </c>
      <c r="E262" s="93">
        <f t="shared" si="12"/>
        <v>96</v>
      </c>
      <c r="F262" s="94">
        <v>5</v>
      </c>
      <c r="G262" s="95" t="s">
        <v>13</v>
      </c>
      <c r="H262" s="93">
        <f t="shared" si="13"/>
        <v>480</v>
      </c>
      <c r="I262" s="93">
        <f t="shared" si="14"/>
        <v>480</v>
      </c>
      <c r="J262" s="96" t="s">
        <v>296</v>
      </c>
      <c r="K262" s="97">
        <v>45847</v>
      </c>
    </row>
    <row r="263" spans="1:11" ht="29" x14ac:dyDescent="0.35">
      <c r="A263" s="3">
        <v>262</v>
      </c>
      <c r="B263" s="92" t="s">
        <v>295</v>
      </c>
      <c r="C263" s="93">
        <v>96</v>
      </c>
      <c r="D263" s="168">
        <v>0</v>
      </c>
      <c r="E263" s="93">
        <f t="shared" si="12"/>
        <v>96</v>
      </c>
      <c r="F263" s="94">
        <v>5</v>
      </c>
      <c r="G263" s="95" t="s">
        <v>13</v>
      </c>
      <c r="H263" s="93">
        <f t="shared" si="13"/>
        <v>480</v>
      </c>
      <c r="I263" s="93">
        <f t="shared" si="14"/>
        <v>480</v>
      </c>
      <c r="J263" s="96" t="s">
        <v>296</v>
      </c>
      <c r="K263" s="97">
        <v>45847</v>
      </c>
    </row>
    <row r="264" spans="1:11" ht="29" x14ac:dyDescent="0.35">
      <c r="A264" s="3">
        <v>263</v>
      </c>
      <c r="B264" s="146" t="s">
        <v>297</v>
      </c>
      <c r="C264" s="147">
        <v>225</v>
      </c>
      <c r="D264" s="177">
        <v>0.2</v>
      </c>
      <c r="E264" s="147">
        <f t="shared" si="12"/>
        <v>180</v>
      </c>
      <c r="F264" s="148">
        <v>0.8</v>
      </c>
      <c r="G264" s="149" t="s">
        <v>173</v>
      </c>
      <c r="H264" s="147">
        <f t="shared" si="13"/>
        <v>180</v>
      </c>
      <c r="I264" s="147">
        <f t="shared" si="14"/>
        <v>144</v>
      </c>
      <c r="J264" s="150" t="s">
        <v>303</v>
      </c>
      <c r="K264" s="151">
        <v>45953</v>
      </c>
    </row>
    <row r="265" spans="1:11" ht="29" x14ac:dyDescent="0.35">
      <c r="A265" s="3">
        <v>264</v>
      </c>
      <c r="B265" s="146" t="s">
        <v>298</v>
      </c>
      <c r="C265" s="147">
        <v>13.431100000000001</v>
      </c>
      <c r="D265" s="177">
        <v>0.5</v>
      </c>
      <c r="E265" s="147">
        <f t="shared" si="12"/>
        <v>6.7155500000000004</v>
      </c>
      <c r="F265" s="148">
        <v>30</v>
      </c>
      <c r="G265" s="149" t="s">
        <v>13</v>
      </c>
      <c r="H265" s="147">
        <f t="shared" si="13"/>
        <v>402.93299999999999</v>
      </c>
      <c r="I265" s="147">
        <f t="shared" si="14"/>
        <v>201.4665</v>
      </c>
      <c r="J265" s="150" t="s">
        <v>303</v>
      </c>
      <c r="K265" s="151">
        <v>45953</v>
      </c>
    </row>
    <row r="266" spans="1:11" x14ac:dyDescent="0.35">
      <c r="A266" s="3">
        <v>265</v>
      </c>
      <c r="B266" s="150" t="s">
        <v>299</v>
      </c>
      <c r="C266" s="147">
        <v>4.0670999999999999</v>
      </c>
      <c r="D266" s="177">
        <v>0.5</v>
      </c>
      <c r="E266" s="147">
        <f t="shared" si="12"/>
        <v>2.03355</v>
      </c>
      <c r="F266" s="148">
        <v>10</v>
      </c>
      <c r="G266" s="149" t="s">
        <v>14</v>
      </c>
      <c r="H266" s="147">
        <f t="shared" si="13"/>
        <v>40.670999999999999</v>
      </c>
      <c r="I266" s="147">
        <f t="shared" si="14"/>
        <v>20.3355</v>
      </c>
      <c r="J266" s="150" t="s">
        <v>303</v>
      </c>
      <c r="K266" s="151">
        <v>45953</v>
      </c>
    </row>
    <row r="267" spans="1:11" x14ac:dyDescent="0.35">
      <c r="A267" s="3">
        <v>266</v>
      </c>
      <c r="B267" s="150" t="s">
        <v>300</v>
      </c>
      <c r="C267" s="147">
        <v>33.5777</v>
      </c>
      <c r="D267" s="177">
        <v>0.5</v>
      </c>
      <c r="E267" s="147">
        <f t="shared" si="12"/>
        <v>16.78885</v>
      </c>
      <c r="F267" s="148">
        <v>3</v>
      </c>
      <c r="G267" s="149" t="s">
        <v>14</v>
      </c>
      <c r="H267" s="147">
        <f t="shared" si="13"/>
        <v>100.73310000000001</v>
      </c>
      <c r="I267" s="147">
        <f t="shared" si="14"/>
        <v>50.366550000000004</v>
      </c>
      <c r="J267" s="150" t="s">
        <v>303</v>
      </c>
      <c r="K267" s="151">
        <v>45953</v>
      </c>
    </row>
    <row r="268" spans="1:11" ht="29" x14ac:dyDescent="0.35">
      <c r="A268" s="3">
        <v>267</v>
      </c>
      <c r="B268" s="146" t="s">
        <v>301</v>
      </c>
      <c r="C268" s="147">
        <v>21.678599999999999</v>
      </c>
      <c r="D268" s="177">
        <v>0.4</v>
      </c>
      <c r="E268" s="147">
        <f t="shared" si="12"/>
        <v>13.007159999999999</v>
      </c>
      <c r="F268" s="148">
        <v>3</v>
      </c>
      <c r="G268" s="149" t="s">
        <v>14</v>
      </c>
      <c r="H268" s="147">
        <f t="shared" si="13"/>
        <v>65.035799999999995</v>
      </c>
      <c r="I268" s="147">
        <f t="shared" si="14"/>
        <v>39.021479999999997</v>
      </c>
      <c r="J268" s="150" t="s">
        <v>303</v>
      </c>
      <c r="K268" s="151">
        <v>45953</v>
      </c>
    </row>
    <row r="269" spans="1:11" x14ac:dyDescent="0.35">
      <c r="A269" s="3">
        <v>268</v>
      </c>
      <c r="B269" s="150" t="s">
        <v>302</v>
      </c>
      <c r="C269" s="147">
        <v>56.662300000000002</v>
      </c>
      <c r="D269" s="177">
        <v>0.5</v>
      </c>
      <c r="E269" s="147">
        <f t="shared" si="12"/>
        <v>28.331150000000001</v>
      </c>
      <c r="F269" s="148">
        <v>3</v>
      </c>
      <c r="G269" s="149" t="s">
        <v>14</v>
      </c>
      <c r="H269" s="147">
        <f t="shared" si="13"/>
        <v>169.98689999999999</v>
      </c>
      <c r="I269" s="147">
        <f t="shared" si="14"/>
        <v>84.993449999999996</v>
      </c>
      <c r="J269" s="150" t="s">
        <v>303</v>
      </c>
      <c r="K269" s="151">
        <v>45953</v>
      </c>
    </row>
    <row r="270" spans="1:11" x14ac:dyDescent="0.35">
      <c r="A270" s="3">
        <v>269</v>
      </c>
      <c r="B270" s="21" t="s">
        <v>304</v>
      </c>
      <c r="C270" s="22">
        <v>4900</v>
      </c>
      <c r="D270" s="156">
        <v>0</v>
      </c>
      <c r="E270" s="22">
        <f t="shared" si="12"/>
        <v>4900</v>
      </c>
      <c r="F270" s="23">
        <v>1</v>
      </c>
      <c r="G270" s="24" t="s">
        <v>14</v>
      </c>
      <c r="H270" s="22">
        <f t="shared" si="13"/>
        <v>4900</v>
      </c>
      <c r="I270" s="22">
        <f t="shared" si="14"/>
        <v>4900</v>
      </c>
      <c r="J270" s="21" t="s">
        <v>305</v>
      </c>
      <c r="K270" s="25">
        <v>45873</v>
      </c>
    </row>
    <row r="271" spans="1:11" x14ac:dyDescent="0.35">
      <c r="A271" s="3">
        <v>270</v>
      </c>
      <c r="B271" s="114" t="s">
        <v>306</v>
      </c>
      <c r="C271" s="111">
        <v>2084.5</v>
      </c>
      <c r="D271" s="171">
        <v>0</v>
      </c>
      <c r="E271" s="111">
        <f t="shared" si="12"/>
        <v>2084.5</v>
      </c>
      <c r="F271" s="112">
        <v>9</v>
      </c>
      <c r="G271" s="113" t="s">
        <v>14</v>
      </c>
      <c r="H271" s="111">
        <f t="shared" si="13"/>
        <v>18760.5</v>
      </c>
      <c r="I271" s="111">
        <f t="shared" si="14"/>
        <v>18760.5</v>
      </c>
      <c r="J271" s="114" t="s">
        <v>307</v>
      </c>
      <c r="K271" s="115">
        <v>45934</v>
      </c>
    </row>
    <row r="272" spans="1:11" ht="29" x14ac:dyDescent="0.35">
      <c r="A272" s="3">
        <v>271</v>
      </c>
      <c r="B272" s="103" t="s">
        <v>308</v>
      </c>
      <c r="C272" s="99">
        <v>754.2</v>
      </c>
      <c r="D272" s="169">
        <v>0</v>
      </c>
      <c r="E272" s="99">
        <f t="shared" si="12"/>
        <v>754.2</v>
      </c>
      <c r="F272" s="100">
        <v>1</v>
      </c>
      <c r="G272" s="101" t="s">
        <v>14</v>
      </c>
      <c r="H272" s="99">
        <f t="shared" si="13"/>
        <v>754.2</v>
      </c>
      <c r="I272" s="99">
        <f t="shared" si="14"/>
        <v>754.2</v>
      </c>
      <c r="J272" s="98" t="s">
        <v>314</v>
      </c>
      <c r="K272" s="102">
        <v>45869</v>
      </c>
    </row>
    <row r="273" spans="1:11" x14ac:dyDescent="0.35">
      <c r="A273" s="3">
        <v>272</v>
      </c>
      <c r="B273" s="96" t="s">
        <v>309</v>
      </c>
      <c r="C273" s="93">
        <v>570</v>
      </c>
      <c r="D273" s="168">
        <v>0.54</v>
      </c>
      <c r="E273" s="93">
        <f t="shared" si="12"/>
        <v>262.2</v>
      </c>
      <c r="F273" s="94">
        <v>1</v>
      </c>
      <c r="G273" s="95" t="s">
        <v>14</v>
      </c>
      <c r="H273" s="93">
        <f t="shared" si="13"/>
        <v>570</v>
      </c>
      <c r="I273" s="93">
        <f t="shared" si="14"/>
        <v>262.2</v>
      </c>
      <c r="J273" s="96" t="s">
        <v>314</v>
      </c>
      <c r="K273" s="97">
        <v>45905</v>
      </c>
    </row>
    <row r="274" spans="1:11" x14ac:dyDescent="0.35">
      <c r="A274" s="3">
        <v>273</v>
      </c>
      <c r="B274" s="96" t="s">
        <v>310</v>
      </c>
      <c r="C274" s="93">
        <v>570</v>
      </c>
      <c r="D274" s="168">
        <v>0.54</v>
      </c>
      <c r="E274" s="93">
        <f t="shared" si="12"/>
        <v>262.2</v>
      </c>
      <c r="F274" s="94">
        <v>1</v>
      </c>
      <c r="G274" s="95" t="s">
        <v>14</v>
      </c>
      <c r="H274" s="93">
        <f t="shared" si="13"/>
        <v>570</v>
      </c>
      <c r="I274" s="93">
        <f t="shared" si="14"/>
        <v>262.2</v>
      </c>
      <c r="J274" s="96" t="s">
        <v>314</v>
      </c>
      <c r="K274" s="97">
        <v>45905</v>
      </c>
    </row>
    <row r="275" spans="1:11" x14ac:dyDescent="0.35">
      <c r="A275" s="3">
        <v>274</v>
      </c>
      <c r="B275" s="96" t="s">
        <v>311</v>
      </c>
      <c r="C275" s="93">
        <v>640</v>
      </c>
      <c r="D275" s="168">
        <v>0.54</v>
      </c>
      <c r="E275" s="93">
        <f t="shared" si="12"/>
        <v>294.39999999999998</v>
      </c>
      <c r="F275" s="94">
        <v>1</v>
      </c>
      <c r="G275" s="95" t="s">
        <v>14</v>
      </c>
      <c r="H275" s="93">
        <f t="shared" si="13"/>
        <v>640</v>
      </c>
      <c r="I275" s="93">
        <f t="shared" si="14"/>
        <v>294.39999999999998</v>
      </c>
      <c r="J275" s="96" t="s">
        <v>314</v>
      </c>
      <c r="K275" s="97">
        <v>45905</v>
      </c>
    </row>
    <row r="276" spans="1:11" ht="29" x14ac:dyDescent="0.35">
      <c r="A276" s="3">
        <v>275</v>
      </c>
      <c r="B276" s="92" t="s">
        <v>312</v>
      </c>
      <c r="C276" s="93">
        <v>1153.95</v>
      </c>
      <c r="D276" s="168">
        <v>0.54</v>
      </c>
      <c r="E276" s="93">
        <f t="shared" si="12"/>
        <v>530.81700000000001</v>
      </c>
      <c r="F276" s="94">
        <v>2</v>
      </c>
      <c r="G276" s="95" t="s">
        <v>14</v>
      </c>
      <c r="H276" s="93">
        <f t="shared" si="13"/>
        <v>2307.9</v>
      </c>
      <c r="I276" s="93">
        <f t="shared" si="14"/>
        <v>1061.634</v>
      </c>
      <c r="J276" s="96" t="s">
        <v>314</v>
      </c>
      <c r="K276" s="97">
        <v>45905</v>
      </c>
    </row>
    <row r="277" spans="1:11" x14ac:dyDescent="0.35">
      <c r="A277" s="3">
        <v>276</v>
      </c>
      <c r="B277" s="96" t="s">
        <v>313</v>
      </c>
      <c r="C277" s="93">
        <v>1060</v>
      </c>
      <c r="D277" s="168">
        <v>0.54</v>
      </c>
      <c r="E277" s="93">
        <f t="shared" si="12"/>
        <v>487.59999999999997</v>
      </c>
      <c r="F277" s="94">
        <v>1</v>
      </c>
      <c r="G277" s="95" t="s">
        <v>14</v>
      </c>
      <c r="H277" s="93">
        <f t="shared" si="13"/>
        <v>1060</v>
      </c>
      <c r="I277" s="93">
        <f t="shared" si="14"/>
        <v>487.59999999999997</v>
      </c>
      <c r="J277" s="96" t="s">
        <v>314</v>
      </c>
      <c r="K277" s="97">
        <v>45905</v>
      </c>
    </row>
    <row r="278" spans="1:11" x14ac:dyDescent="0.35">
      <c r="A278" s="3">
        <v>277</v>
      </c>
      <c r="B278" s="108" t="s">
        <v>313</v>
      </c>
      <c r="C278" s="105">
        <v>1060</v>
      </c>
      <c r="D278" s="170">
        <v>0.55000000000000004</v>
      </c>
      <c r="E278" s="105">
        <f t="shared" si="12"/>
        <v>476.99999999999994</v>
      </c>
      <c r="F278" s="106">
        <v>3</v>
      </c>
      <c r="G278" s="107" t="s">
        <v>14</v>
      </c>
      <c r="H278" s="105">
        <f t="shared" si="13"/>
        <v>3180</v>
      </c>
      <c r="I278" s="105">
        <f t="shared" si="14"/>
        <v>1430.9999999999998</v>
      </c>
      <c r="J278" s="108" t="s">
        <v>314</v>
      </c>
      <c r="K278" s="109">
        <v>45929</v>
      </c>
    </row>
    <row r="279" spans="1:11" x14ac:dyDescent="0.35">
      <c r="A279" s="3">
        <v>278</v>
      </c>
      <c r="B279" s="108" t="s">
        <v>315</v>
      </c>
      <c r="C279" s="105">
        <v>640</v>
      </c>
      <c r="D279" s="170">
        <v>0.55000000000000004</v>
      </c>
      <c r="E279" s="105">
        <f t="shared" si="12"/>
        <v>288</v>
      </c>
      <c r="F279" s="106">
        <v>3</v>
      </c>
      <c r="G279" s="107" t="s">
        <v>14</v>
      </c>
      <c r="H279" s="105">
        <f t="shared" si="13"/>
        <v>1920</v>
      </c>
      <c r="I279" s="105">
        <f t="shared" si="14"/>
        <v>864</v>
      </c>
      <c r="J279" s="108" t="s">
        <v>314</v>
      </c>
      <c r="K279" s="109">
        <v>45929</v>
      </c>
    </row>
    <row r="280" spans="1:11" x14ac:dyDescent="0.35">
      <c r="A280" s="3">
        <v>279</v>
      </c>
      <c r="B280" s="108" t="s">
        <v>316</v>
      </c>
      <c r="C280" s="105">
        <v>2320</v>
      </c>
      <c r="D280" s="170">
        <v>0.55000000000000004</v>
      </c>
      <c r="E280" s="105">
        <f t="shared" si="12"/>
        <v>1044</v>
      </c>
      <c r="F280" s="106">
        <v>1</v>
      </c>
      <c r="G280" s="107" t="s">
        <v>14</v>
      </c>
      <c r="H280" s="105">
        <f t="shared" si="13"/>
        <v>2320</v>
      </c>
      <c r="I280" s="105">
        <f t="shared" si="14"/>
        <v>1044</v>
      </c>
      <c r="J280" s="108" t="s">
        <v>314</v>
      </c>
      <c r="K280" s="109">
        <v>45929</v>
      </c>
    </row>
    <row r="281" spans="1:11" x14ac:dyDescent="0.35">
      <c r="A281" s="3">
        <v>280</v>
      </c>
      <c r="B281" s="108" t="s">
        <v>317</v>
      </c>
      <c r="C281" s="105">
        <v>3630</v>
      </c>
      <c r="D281" s="170">
        <v>0.55000000000000004</v>
      </c>
      <c r="E281" s="105">
        <f t="shared" si="12"/>
        <v>1633.4999999999998</v>
      </c>
      <c r="F281" s="106">
        <v>1</v>
      </c>
      <c r="G281" s="107" t="s">
        <v>14</v>
      </c>
      <c r="H281" s="105">
        <f t="shared" si="13"/>
        <v>3630</v>
      </c>
      <c r="I281" s="105">
        <f t="shared" si="14"/>
        <v>1633.4999999999998</v>
      </c>
      <c r="J281" s="108" t="s">
        <v>314</v>
      </c>
      <c r="K281" s="109">
        <v>45929</v>
      </c>
    </row>
    <row r="282" spans="1:11" x14ac:dyDescent="0.35">
      <c r="A282" s="3">
        <v>281</v>
      </c>
      <c r="B282" s="108" t="s">
        <v>318</v>
      </c>
      <c r="C282" s="105">
        <v>7740</v>
      </c>
      <c r="D282" s="170">
        <v>0.55000000000000004</v>
      </c>
      <c r="E282" s="105">
        <f t="shared" si="12"/>
        <v>3482.9999999999995</v>
      </c>
      <c r="F282" s="106">
        <v>1</v>
      </c>
      <c r="G282" s="107" t="s">
        <v>14</v>
      </c>
      <c r="H282" s="105">
        <f t="shared" si="13"/>
        <v>7740</v>
      </c>
      <c r="I282" s="105">
        <f t="shared" si="14"/>
        <v>3482.9999999999995</v>
      </c>
      <c r="J282" s="108" t="s">
        <v>314</v>
      </c>
      <c r="K282" s="109">
        <v>45929</v>
      </c>
    </row>
    <row r="283" spans="1:11" x14ac:dyDescent="0.35">
      <c r="A283" s="3">
        <v>282</v>
      </c>
      <c r="B283" s="108" t="s">
        <v>319</v>
      </c>
      <c r="C283" s="105">
        <v>8870</v>
      </c>
      <c r="D283" s="170">
        <v>0.55000000000000004</v>
      </c>
      <c r="E283" s="105">
        <f t="shared" si="12"/>
        <v>3991.4999999999995</v>
      </c>
      <c r="F283" s="106">
        <v>2</v>
      </c>
      <c r="G283" s="107" t="s">
        <v>14</v>
      </c>
      <c r="H283" s="105">
        <f t="shared" si="13"/>
        <v>17740</v>
      </c>
      <c r="I283" s="105">
        <f t="shared" si="14"/>
        <v>7982.9999999999991</v>
      </c>
      <c r="J283" s="108" t="s">
        <v>314</v>
      </c>
      <c r="K283" s="109">
        <v>45929</v>
      </c>
    </row>
    <row r="284" spans="1:11" x14ac:dyDescent="0.35">
      <c r="A284" s="3">
        <v>283</v>
      </c>
      <c r="B284" s="108" t="s">
        <v>320</v>
      </c>
      <c r="C284" s="105">
        <v>207.37</v>
      </c>
      <c r="D284" s="170">
        <v>0.55000000000000004</v>
      </c>
      <c r="E284" s="105">
        <f t="shared" si="12"/>
        <v>93.316499999999991</v>
      </c>
      <c r="F284" s="106">
        <v>6</v>
      </c>
      <c r="G284" s="107" t="s">
        <v>14</v>
      </c>
      <c r="H284" s="105">
        <f t="shared" si="13"/>
        <v>1244.22</v>
      </c>
      <c r="I284" s="105">
        <f t="shared" si="14"/>
        <v>559.89899999999989</v>
      </c>
      <c r="J284" s="108" t="s">
        <v>314</v>
      </c>
      <c r="K284" s="109">
        <v>45929</v>
      </c>
    </row>
    <row r="285" spans="1:11" x14ac:dyDescent="0.35">
      <c r="A285" s="3">
        <v>284</v>
      </c>
      <c r="B285" s="108" t="s">
        <v>321</v>
      </c>
      <c r="C285" s="105">
        <v>207.37</v>
      </c>
      <c r="D285" s="170">
        <v>0.55000000000000004</v>
      </c>
      <c r="E285" s="105">
        <f t="shared" si="12"/>
        <v>93.316499999999991</v>
      </c>
      <c r="F285" s="106">
        <v>3</v>
      </c>
      <c r="G285" s="107" t="s">
        <v>14</v>
      </c>
      <c r="H285" s="105">
        <f t="shared" si="13"/>
        <v>622.11</v>
      </c>
      <c r="I285" s="105">
        <f t="shared" si="14"/>
        <v>279.94949999999994</v>
      </c>
      <c r="J285" s="108" t="s">
        <v>314</v>
      </c>
      <c r="K285" s="109">
        <v>45929</v>
      </c>
    </row>
    <row r="286" spans="1:11" x14ac:dyDescent="0.35">
      <c r="A286" s="3">
        <v>285</v>
      </c>
      <c r="B286" s="108" t="s">
        <v>322</v>
      </c>
      <c r="C286" s="105">
        <v>207.37</v>
      </c>
      <c r="D286" s="170">
        <v>0.55000000000000004</v>
      </c>
      <c r="E286" s="105">
        <f t="shared" si="12"/>
        <v>93.316499999999991</v>
      </c>
      <c r="F286" s="106">
        <v>3</v>
      </c>
      <c r="G286" s="107" t="s">
        <v>14</v>
      </c>
      <c r="H286" s="105">
        <f t="shared" si="13"/>
        <v>622.11</v>
      </c>
      <c r="I286" s="105">
        <f t="shared" si="14"/>
        <v>279.94949999999994</v>
      </c>
      <c r="J286" s="108" t="s">
        <v>314</v>
      </c>
      <c r="K286" s="109">
        <v>45929</v>
      </c>
    </row>
    <row r="287" spans="1:11" x14ac:dyDescent="0.35">
      <c r="A287" s="3">
        <v>286</v>
      </c>
      <c r="B287" s="108" t="s">
        <v>323</v>
      </c>
      <c r="C287" s="105">
        <v>207.37</v>
      </c>
      <c r="D287" s="170">
        <v>0.55000000000000004</v>
      </c>
      <c r="E287" s="105">
        <f t="shared" si="12"/>
        <v>93.316499999999991</v>
      </c>
      <c r="F287" s="106">
        <v>6</v>
      </c>
      <c r="G287" s="107" t="s">
        <v>14</v>
      </c>
      <c r="H287" s="105">
        <f t="shared" si="13"/>
        <v>1244.22</v>
      </c>
      <c r="I287" s="105">
        <f t="shared" si="14"/>
        <v>559.89899999999989</v>
      </c>
      <c r="J287" s="108" t="s">
        <v>314</v>
      </c>
      <c r="K287" s="109">
        <v>45929</v>
      </c>
    </row>
    <row r="288" spans="1:11" x14ac:dyDescent="0.35">
      <c r="A288" s="3">
        <v>287</v>
      </c>
      <c r="B288" s="108" t="s">
        <v>324</v>
      </c>
      <c r="C288" s="105">
        <v>207.37</v>
      </c>
      <c r="D288" s="170">
        <v>0.55000000000000004</v>
      </c>
      <c r="E288" s="105">
        <f t="shared" si="12"/>
        <v>93.316499999999991</v>
      </c>
      <c r="F288" s="106">
        <v>6</v>
      </c>
      <c r="G288" s="107" t="s">
        <v>14</v>
      </c>
      <c r="H288" s="105">
        <f t="shared" si="13"/>
        <v>1244.22</v>
      </c>
      <c r="I288" s="105">
        <f t="shared" si="14"/>
        <v>559.89899999999989</v>
      </c>
      <c r="J288" s="108" t="s">
        <v>314</v>
      </c>
      <c r="K288" s="109">
        <v>45929</v>
      </c>
    </row>
    <row r="289" spans="1:11" ht="29" x14ac:dyDescent="0.35">
      <c r="A289" s="3">
        <v>288</v>
      </c>
      <c r="B289" s="104" t="s">
        <v>325</v>
      </c>
      <c r="C289" s="105">
        <v>5142.7759999999998</v>
      </c>
      <c r="D289" s="170">
        <v>0.55000000000000004</v>
      </c>
      <c r="E289" s="105">
        <f t="shared" si="12"/>
        <v>2314.2491999999997</v>
      </c>
      <c r="F289" s="106">
        <v>5</v>
      </c>
      <c r="G289" s="107" t="s">
        <v>14</v>
      </c>
      <c r="H289" s="105">
        <f t="shared" si="13"/>
        <v>25713.879999999997</v>
      </c>
      <c r="I289" s="105">
        <f t="shared" si="14"/>
        <v>11571.245999999999</v>
      </c>
      <c r="J289" s="108" t="s">
        <v>314</v>
      </c>
      <c r="K289" s="109">
        <v>45929</v>
      </c>
    </row>
    <row r="290" spans="1:11" ht="29" x14ac:dyDescent="0.35">
      <c r="A290" s="3">
        <v>289</v>
      </c>
      <c r="B290" s="104" t="s">
        <v>326</v>
      </c>
      <c r="C290" s="105">
        <v>4810.9840000000004</v>
      </c>
      <c r="D290" s="170">
        <v>0.55000000000000004</v>
      </c>
      <c r="E290" s="105">
        <f t="shared" si="12"/>
        <v>2164.9427999999998</v>
      </c>
      <c r="F290" s="106">
        <v>2</v>
      </c>
      <c r="G290" s="107" t="s">
        <v>14</v>
      </c>
      <c r="H290" s="105">
        <f t="shared" si="13"/>
        <v>9621.9680000000008</v>
      </c>
      <c r="I290" s="105">
        <f t="shared" si="14"/>
        <v>4329.8855999999996</v>
      </c>
      <c r="J290" s="108" t="s">
        <v>314</v>
      </c>
      <c r="K290" s="109">
        <v>45929</v>
      </c>
    </row>
    <row r="291" spans="1:11" ht="29" x14ac:dyDescent="0.35">
      <c r="A291" s="3">
        <v>290</v>
      </c>
      <c r="B291" s="104" t="s">
        <v>327</v>
      </c>
      <c r="C291" s="105">
        <v>3981.5039999999999</v>
      </c>
      <c r="D291" s="170">
        <v>0.55000000000000004</v>
      </c>
      <c r="E291" s="105">
        <f t="shared" si="12"/>
        <v>1791.6767999999997</v>
      </c>
      <c r="F291" s="106">
        <v>1</v>
      </c>
      <c r="G291" s="107" t="s">
        <v>14</v>
      </c>
      <c r="H291" s="105">
        <f t="shared" si="13"/>
        <v>3981.5039999999999</v>
      </c>
      <c r="I291" s="105">
        <f t="shared" si="14"/>
        <v>1791.6767999999997</v>
      </c>
      <c r="J291" s="108" t="s">
        <v>314</v>
      </c>
      <c r="K291" s="109">
        <v>45929</v>
      </c>
    </row>
    <row r="292" spans="1:11" ht="29" x14ac:dyDescent="0.35">
      <c r="A292" s="3">
        <v>291</v>
      </c>
      <c r="B292" s="104" t="s">
        <v>328</v>
      </c>
      <c r="C292" s="105">
        <v>3027.6019999999999</v>
      </c>
      <c r="D292" s="170">
        <v>0.55000000000000004</v>
      </c>
      <c r="E292" s="105">
        <f t="shared" si="12"/>
        <v>1362.4208999999998</v>
      </c>
      <c r="F292" s="106">
        <v>1</v>
      </c>
      <c r="G292" s="107" t="s">
        <v>14</v>
      </c>
      <c r="H292" s="105">
        <f t="shared" si="13"/>
        <v>3027.6019999999999</v>
      </c>
      <c r="I292" s="105">
        <f t="shared" si="14"/>
        <v>1362.4208999999998</v>
      </c>
      <c r="J292" s="108" t="s">
        <v>314</v>
      </c>
      <c r="K292" s="109">
        <v>45929</v>
      </c>
    </row>
    <row r="293" spans="1:11" ht="29" x14ac:dyDescent="0.35">
      <c r="A293" s="3">
        <v>292</v>
      </c>
      <c r="B293" s="104" t="s">
        <v>329</v>
      </c>
      <c r="C293" s="105">
        <v>1990.752</v>
      </c>
      <c r="D293" s="170">
        <v>0.55000000000000004</v>
      </c>
      <c r="E293" s="105">
        <f t="shared" si="12"/>
        <v>895.83839999999987</v>
      </c>
      <c r="F293" s="106">
        <v>1</v>
      </c>
      <c r="G293" s="107" t="s">
        <v>14</v>
      </c>
      <c r="H293" s="105">
        <f t="shared" si="13"/>
        <v>1990.752</v>
      </c>
      <c r="I293" s="105">
        <f t="shared" si="14"/>
        <v>895.83839999999987</v>
      </c>
      <c r="J293" s="108" t="s">
        <v>314</v>
      </c>
      <c r="K293" s="109">
        <v>45929</v>
      </c>
    </row>
    <row r="294" spans="1:11" ht="29" x14ac:dyDescent="0.35">
      <c r="A294" s="3">
        <v>293</v>
      </c>
      <c r="B294" s="104" t="s">
        <v>330</v>
      </c>
      <c r="C294" s="105">
        <v>1824.856</v>
      </c>
      <c r="D294" s="170">
        <v>0.55000000000000004</v>
      </c>
      <c r="E294" s="105">
        <f t="shared" si="12"/>
        <v>821.1851999999999</v>
      </c>
      <c r="F294" s="106">
        <v>1</v>
      </c>
      <c r="G294" s="107" t="s">
        <v>14</v>
      </c>
      <c r="H294" s="105">
        <f t="shared" si="13"/>
        <v>1824.856</v>
      </c>
      <c r="I294" s="105">
        <f t="shared" si="14"/>
        <v>821.1851999999999</v>
      </c>
      <c r="J294" s="108" t="s">
        <v>314</v>
      </c>
      <c r="K294" s="109">
        <v>45929</v>
      </c>
    </row>
    <row r="295" spans="1:11" ht="29" x14ac:dyDescent="0.35">
      <c r="A295" s="3">
        <v>294</v>
      </c>
      <c r="B295" s="104" t="s">
        <v>331</v>
      </c>
      <c r="C295" s="105">
        <v>1617.4860000000001</v>
      </c>
      <c r="D295" s="170">
        <v>0.55000000000000004</v>
      </c>
      <c r="E295" s="105">
        <f t="shared" si="12"/>
        <v>727.86869999999999</v>
      </c>
      <c r="F295" s="106">
        <v>1</v>
      </c>
      <c r="G295" s="107" t="s">
        <v>14</v>
      </c>
      <c r="H295" s="105">
        <f t="shared" si="13"/>
        <v>1617.4860000000001</v>
      </c>
      <c r="I295" s="105">
        <f t="shared" si="14"/>
        <v>727.86869999999999</v>
      </c>
      <c r="J295" s="108" t="s">
        <v>314</v>
      </c>
      <c r="K295" s="109">
        <v>45929</v>
      </c>
    </row>
    <row r="296" spans="1:11" ht="43.5" x14ac:dyDescent="0.35">
      <c r="A296" s="3">
        <v>295</v>
      </c>
      <c r="B296" s="104" t="s">
        <v>332</v>
      </c>
      <c r="C296" s="105">
        <v>3525.29</v>
      </c>
      <c r="D296" s="170">
        <v>0.55000000000000004</v>
      </c>
      <c r="E296" s="105">
        <f t="shared" si="12"/>
        <v>1586.3804999999998</v>
      </c>
      <c r="F296" s="106">
        <v>1</v>
      </c>
      <c r="G296" s="107" t="s">
        <v>14</v>
      </c>
      <c r="H296" s="105">
        <f t="shared" si="13"/>
        <v>3525.29</v>
      </c>
      <c r="I296" s="105">
        <f t="shared" si="14"/>
        <v>1586.3804999999998</v>
      </c>
      <c r="J296" s="108" t="s">
        <v>314</v>
      </c>
      <c r="K296" s="109">
        <v>45929</v>
      </c>
    </row>
    <row r="297" spans="1:11" x14ac:dyDescent="0.35">
      <c r="A297" s="3">
        <v>296</v>
      </c>
      <c r="B297" s="108" t="s">
        <v>333</v>
      </c>
      <c r="C297" s="105">
        <v>6138.152</v>
      </c>
      <c r="D297" s="170">
        <v>0.55000000000000004</v>
      </c>
      <c r="E297" s="105">
        <f t="shared" si="12"/>
        <v>2762.1683999999996</v>
      </c>
      <c r="F297" s="106">
        <v>1</v>
      </c>
      <c r="G297" s="107" t="s">
        <v>14</v>
      </c>
      <c r="H297" s="105">
        <f t="shared" si="13"/>
        <v>6138.152</v>
      </c>
      <c r="I297" s="105">
        <f t="shared" si="14"/>
        <v>2762.1683999999996</v>
      </c>
      <c r="J297" s="108" t="s">
        <v>314</v>
      </c>
      <c r="K297" s="109">
        <v>45929</v>
      </c>
    </row>
    <row r="298" spans="1:11" x14ac:dyDescent="0.35">
      <c r="A298" s="3">
        <v>297</v>
      </c>
      <c r="B298" s="108" t="s">
        <v>334</v>
      </c>
      <c r="C298" s="105">
        <v>1244.22</v>
      </c>
      <c r="D298" s="170">
        <v>0.55000000000000004</v>
      </c>
      <c r="E298" s="105">
        <f t="shared" si="12"/>
        <v>559.899</v>
      </c>
      <c r="F298" s="106">
        <v>10</v>
      </c>
      <c r="G298" s="107" t="s">
        <v>14</v>
      </c>
      <c r="H298" s="105">
        <f t="shared" si="13"/>
        <v>12442.2</v>
      </c>
      <c r="I298" s="105">
        <f t="shared" si="14"/>
        <v>5598.99</v>
      </c>
      <c r="J298" s="108" t="s">
        <v>314</v>
      </c>
      <c r="K298" s="109">
        <v>45929</v>
      </c>
    </row>
    <row r="299" spans="1:11" x14ac:dyDescent="0.35">
      <c r="A299" s="3">
        <v>298</v>
      </c>
      <c r="B299" s="114" t="s">
        <v>320</v>
      </c>
      <c r="C299" s="111">
        <v>210.15350000000001</v>
      </c>
      <c r="D299" s="171">
        <v>0.55000000000000004</v>
      </c>
      <c r="E299" s="111">
        <f t="shared" si="12"/>
        <v>94.569074999999998</v>
      </c>
      <c r="F299" s="112">
        <v>3</v>
      </c>
      <c r="G299" s="113" t="s">
        <v>14</v>
      </c>
      <c r="H299" s="111">
        <f t="shared" si="13"/>
        <v>630.46050000000002</v>
      </c>
      <c r="I299" s="111">
        <f t="shared" si="14"/>
        <v>283.70722499999999</v>
      </c>
      <c r="J299" s="114" t="s">
        <v>314</v>
      </c>
      <c r="K299" s="115">
        <v>45966</v>
      </c>
    </row>
    <row r="300" spans="1:11" x14ac:dyDescent="0.35">
      <c r="A300" s="3">
        <v>299</v>
      </c>
      <c r="B300" s="114" t="s">
        <v>335</v>
      </c>
      <c r="C300" s="111">
        <v>210.15350000000001</v>
      </c>
      <c r="D300" s="171">
        <v>0.55000000000000004</v>
      </c>
      <c r="E300" s="111">
        <f t="shared" si="12"/>
        <v>94.569074999999998</v>
      </c>
      <c r="F300" s="112">
        <v>3</v>
      </c>
      <c r="G300" s="113" t="s">
        <v>14</v>
      </c>
      <c r="H300" s="111">
        <f t="shared" si="13"/>
        <v>630.46050000000002</v>
      </c>
      <c r="I300" s="111">
        <f t="shared" si="14"/>
        <v>283.70722499999999</v>
      </c>
      <c r="J300" s="114" t="s">
        <v>314</v>
      </c>
      <c r="K300" s="115">
        <v>45966</v>
      </c>
    </row>
    <row r="301" spans="1:11" x14ac:dyDescent="0.35">
      <c r="A301" s="3">
        <v>300</v>
      </c>
      <c r="B301" s="114" t="s">
        <v>321</v>
      </c>
      <c r="C301" s="111">
        <v>210.15350000000001</v>
      </c>
      <c r="D301" s="171">
        <v>0.55000000000000004</v>
      </c>
      <c r="E301" s="111">
        <f t="shared" si="12"/>
        <v>94.569074999999998</v>
      </c>
      <c r="F301" s="112">
        <v>3</v>
      </c>
      <c r="G301" s="113" t="s">
        <v>14</v>
      </c>
      <c r="H301" s="111">
        <f t="shared" si="13"/>
        <v>630.46050000000002</v>
      </c>
      <c r="I301" s="111">
        <f t="shared" si="14"/>
        <v>283.70722499999999</v>
      </c>
      <c r="J301" s="114" t="s">
        <v>314</v>
      </c>
      <c r="K301" s="115">
        <v>45966</v>
      </c>
    </row>
    <row r="302" spans="1:11" x14ac:dyDescent="0.35">
      <c r="A302" s="3">
        <v>301</v>
      </c>
      <c r="B302" s="114" t="s">
        <v>336</v>
      </c>
      <c r="C302" s="111">
        <v>210.15350000000001</v>
      </c>
      <c r="D302" s="171">
        <v>0.55000000000000004</v>
      </c>
      <c r="E302" s="111">
        <f t="shared" si="12"/>
        <v>94.569074999999998</v>
      </c>
      <c r="F302" s="112">
        <v>3</v>
      </c>
      <c r="G302" s="113" t="s">
        <v>14</v>
      </c>
      <c r="H302" s="111">
        <f t="shared" si="13"/>
        <v>630.46050000000002</v>
      </c>
      <c r="I302" s="111">
        <f t="shared" si="14"/>
        <v>283.70722499999999</v>
      </c>
      <c r="J302" s="114" t="s">
        <v>314</v>
      </c>
      <c r="K302" s="115">
        <v>45966</v>
      </c>
    </row>
    <row r="303" spans="1:11" x14ac:dyDescent="0.35">
      <c r="A303" s="3">
        <v>302</v>
      </c>
      <c r="B303" s="114" t="s">
        <v>322</v>
      </c>
      <c r="C303" s="111">
        <v>210.15350000000001</v>
      </c>
      <c r="D303" s="171">
        <v>0.55000000000000004</v>
      </c>
      <c r="E303" s="111">
        <f t="shared" si="12"/>
        <v>94.569074999999998</v>
      </c>
      <c r="F303" s="112">
        <v>3</v>
      </c>
      <c r="G303" s="113" t="s">
        <v>14</v>
      </c>
      <c r="H303" s="111">
        <f t="shared" si="13"/>
        <v>630.46050000000002</v>
      </c>
      <c r="I303" s="111">
        <f t="shared" si="14"/>
        <v>283.70722499999999</v>
      </c>
      <c r="J303" s="114" t="s">
        <v>314</v>
      </c>
      <c r="K303" s="115">
        <v>45966</v>
      </c>
    </row>
    <row r="304" spans="1:11" x14ac:dyDescent="0.35">
      <c r="A304" s="3">
        <v>303</v>
      </c>
      <c r="B304" s="114" t="s">
        <v>323</v>
      </c>
      <c r="C304" s="111">
        <v>210.15350000000001</v>
      </c>
      <c r="D304" s="171">
        <v>0.55000000000000004</v>
      </c>
      <c r="E304" s="111">
        <f t="shared" si="12"/>
        <v>94.569074999999998</v>
      </c>
      <c r="F304" s="112">
        <v>3</v>
      </c>
      <c r="G304" s="113" t="s">
        <v>14</v>
      </c>
      <c r="H304" s="111">
        <f t="shared" si="13"/>
        <v>630.46050000000002</v>
      </c>
      <c r="I304" s="111">
        <f t="shared" si="14"/>
        <v>283.70722499999999</v>
      </c>
      <c r="J304" s="114" t="s">
        <v>314</v>
      </c>
      <c r="K304" s="115">
        <v>45966</v>
      </c>
    </row>
    <row r="305" spans="1:11" x14ac:dyDescent="0.35">
      <c r="A305" s="3">
        <v>304</v>
      </c>
      <c r="B305" s="114" t="s">
        <v>324</v>
      </c>
      <c r="C305" s="111">
        <v>210.15350000000001</v>
      </c>
      <c r="D305" s="171">
        <v>0.55000000000000004</v>
      </c>
      <c r="E305" s="111">
        <f t="shared" si="12"/>
        <v>94.569074999999998</v>
      </c>
      <c r="F305" s="112">
        <v>2</v>
      </c>
      <c r="G305" s="113" t="s">
        <v>14</v>
      </c>
      <c r="H305" s="111">
        <f t="shared" si="13"/>
        <v>420.30700000000002</v>
      </c>
      <c r="I305" s="111">
        <f t="shared" si="14"/>
        <v>189.13815</v>
      </c>
      <c r="J305" s="114" t="s">
        <v>314</v>
      </c>
      <c r="K305" s="115">
        <v>45966</v>
      </c>
    </row>
    <row r="306" spans="1:11" x14ac:dyDescent="0.35">
      <c r="A306" s="3">
        <v>305</v>
      </c>
      <c r="B306" s="114" t="s">
        <v>337</v>
      </c>
      <c r="C306" s="111">
        <v>520</v>
      </c>
      <c r="D306" s="171">
        <v>0.55000000000000004</v>
      </c>
      <c r="E306" s="111">
        <f t="shared" si="12"/>
        <v>233.99999999999997</v>
      </c>
      <c r="F306" s="112">
        <v>1</v>
      </c>
      <c r="G306" s="113" t="s">
        <v>14</v>
      </c>
      <c r="H306" s="111">
        <f t="shared" si="13"/>
        <v>520</v>
      </c>
      <c r="I306" s="111">
        <f t="shared" si="14"/>
        <v>233.99999999999997</v>
      </c>
      <c r="J306" s="114" t="s">
        <v>314</v>
      </c>
      <c r="K306" s="115">
        <v>45966</v>
      </c>
    </row>
    <row r="307" spans="1:11" x14ac:dyDescent="0.35">
      <c r="A307" s="3">
        <v>306</v>
      </c>
      <c r="B307" s="114" t="s">
        <v>338</v>
      </c>
      <c r="C307" s="111">
        <v>6935.0654999999997</v>
      </c>
      <c r="D307" s="171">
        <v>0.55000000000000004</v>
      </c>
      <c r="E307" s="111">
        <f t="shared" si="12"/>
        <v>3120.7794749999994</v>
      </c>
      <c r="F307" s="112">
        <v>3</v>
      </c>
      <c r="G307" s="113" t="s">
        <v>14</v>
      </c>
      <c r="H307" s="111">
        <f t="shared" si="13"/>
        <v>20805.196499999998</v>
      </c>
      <c r="I307" s="111">
        <f t="shared" si="14"/>
        <v>9362.3384249999981</v>
      </c>
      <c r="J307" s="114" t="s">
        <v>314</v>
      </c>
      <c r="K307" s="115">
        <v>45966</v>
      </c>
    </row>
    <row r="308" spans="1:11" ht="29" x14ac:dyDescent="0.35">
      <c r="A308" s="3">
        <v>307</v>
      </c>
      <c r="B308" s="110" t="s">
        <v>330</v>
      </c>
      <c r="C308" s="111">
        <v>1854.2919999999999</v>
      </c>
      <c r="D308" s="171">
        <v>0.55000000000000004</v>
      </c>
      <c r="E308" s="111">
        <f t="shared" si="12"/>
        <v>834.43139999999983</v>
      </c>
      <c r="F308" s="112">
        <v>2</v>
      </c>
      <c r="G308" s="113" t="s">
        <v>14</v>
      </c>
      <c r="H308" s="111">
        <f t="shared" si="13"/>
        <v>3708.5839999999998</v>
      </c>
      <c r="I308" s="111">
        <f t="shared" si="14"/>
        <v>1668.8627999999997</v>
      </c>
      <c r="J308" s="114" t="s">
        <v>314</v>
      </c>
      <c r="K308" s="115">
        <v>45966</v>
      </c>
    </row>
    <row r="309" spans="1:11" ht="29" x14ac:dyDescent="0.35">
      <c r="A309" s="3">
        <v>308</v>
      </c>
      <c r="B309" s="110" t="s">
        <v>329</v>
      </c>
      <c r="C309" s="111">
        <v>2022.864</v>
      </c>
      <c r="D309" s="171">
        <v>0.55000000000000004</v>
      </c>
      <c r="E309" s="111">
        <f t="shared" si="12"/>
        <v>910.28879999999992</v>
      </c>
      <c r="F309" s="112">
        <v>1</v>
      </c>
      <c r="G309" s="113" t="s">
        <v>14</v>
      </c>
      <c r="H309" s="111">
        <f t="shared" si="13"/>
        <v>2022.864</v>
      </c>
      <c r="I309" s="111">
        <f t="shared" si="14"/>
        <v>910.28879999999992</v>
      </c>
      <c r="J309" s="114" t="s">
        <v>314</v>
      </c>
      <c r="K309" s="115">
        <v>45966</v>
      </c>
    </row>
    <row r="310" spans="1:11" ht="43.5" x14ac:dyDescent="0.35">
      <c r="A310" s="3">
        <v>309</v>
      </c>
      <c r="B310" s="110" t="s">
        <v>339</v>
      </c>
      <c r="C310" s="111">
        <v>11378.61</v>
      </c>
      <c r="D310" s="171">
        <v>0.55000000000000004</v>
      </c>
      <c r="E310" s="111">
        <f t="shared" si="12"/>
        <v>5120.3744999999999</v>
      </c>
      <c r="F310" s="112">
        <v>1</v>
      </c>
      <c r="G310" s="113" t="s">
        <v>14</v>
      </c>
      <c r="H310" s="111">
        <f t="shared" si="13"/>
        <v>11378.61</v>
      </c>
      <c r="I310" s="111">
        <f t="shared" si="14"/>
        <v>5120.3744999999999</v>
      </c>
      <c r="J310" s="114" t="s">
        <v>314</v>
      </c>
      <c r="K310" s="115">
        <v>45966</v>
      </c>
    </row>
    <row r="311" spans="1:11" x14ac:dyDescent="0.35">
      <c r="A311" s="3">
        <v>310</v>
      </c>
      <c r="B311" s="114" t="s">
        <v>340</v>
      </c>
      <c r="C311" s="111">
        <v>10114.32</v>
      </c>
      <c r="D311" s="171">
        <v>0.55000000000000004</v>
      </c>
      <c r="E311" s="111">
        <f t="shared" si="12"/>
        <v>4551.4439999999995</v>
      </c>
      <c r="F311" s="112">
        <v>1</v>
      </c>
      <c r="G311" s="113" t="s">
        <v>14</v>
      </c>
      <c r="H311" s="111">
        <f t="shared" si="13"/>
        <v>10114.32</v>
      </c>
      <c r="I311" s="111">
        <f t="shared" si="14"/>
        <v>4551.4439999999995</v>
      </c>
      <c r="J311" s="114" t="s">
        <v>314</v>
      </c>
      <c r="K311" s="115">
        <v>45966</v>
      </c>
    </row>
    <row r="312" spans="1:11" x14ac:dyDescent="0.35">
      <c r="A312" s="3">
        <v>311</v>
      </c>
      <c r="B312" s="134" t="s">
        <v>341</v>
      </c>
      <c r="C312" s="135">
        <v>1493.0555555599999</v>
      </c>
      <c r="D312" s="175">
        <v>0</v>
      </c>
      <c r="E312" s="135">
        <f t="shared" si="12"/>
        <v>1493.0555555599999</v>
      </c>
      <c r="F312" s="136">
        <v>6</v>
      </c>
      <c r="G312" s="137" t="s">
        <v>14</v>
      </c>
      <c r="H312" s="135">
        <f t="shared" si="13"/>
        <v>8958.3333333599985</v>
      </c>
      <c r="I312" s="135">
        <f t="shared" si="14"/>
        <v>8958.3333333599985</v>
      </c>
      <c r="J312" s="134" t="s">
        <v>342</v>
      </c>
      <c r="K312" s="138">
        <v>45910</v>
      </c>
    </row>
    <row r="313" spans="1:11" x14ac:dyDescent="0.35">
      <c r="A313" s="3">
        <v>312</v>
      </c>
      <c r="B313" s="61" t="s">
        <v>343</v>
      </c>
      <c r="C313" s="50">
        <v>2300</v>
      </c>
      <c r="D313" s="161">
        <v>0</v>
      </c>
      <c r="E313" s="50">
        <f t="shared" si="12"/>
        <v>2300</v>
      </c>
      <c r="F313" s="51">
        <v>1</v>
      </c>
      <c r="G313" s="52" t="s">
        <v>14</v>
      </c>
      <c r="H313" s="50">
        <f t="shared" si="13"/>
        <v>2300</v>
      </c>
      <c r="I313" s="50">
        <f t="shared" si="14"/>
        <v>2300</v>
      </c>
      <c r="J313" s="61" t="s">
        <v>355</v>
      </c>
      <c r="K313" s="53">
        <v>45924</v>
      </c>
    </row>
    <row r="314" spans="1:11" x14ac:dyDescent="0.35">
      <c r="A314" s="3">
        <v>313</v>
      </c>
      <c r="B314" s="61" t="s">
        <v>344</v>
      </c>
      <c r="C314" s="50">
        <v>250</v>
      </c>
      <c r="D314" s="161">
        <v>0</v>
      </c>
      <c r="E314" s="50">
        <f t="shared" si="12"/>
        <v>250</v>
      </c>
      <c r="F314" s="51">
        <v>6</v>
      </c>
      <c r="G314" s="52" t="s">
        <v>14</v>
      </c>
      <c r="H314" s="50">
        <f t="shared" si="13"/>
        <v>1500</v>
      </c>
      <c r="I314" s="50">
        <f t="shared" si="14"/>
        <v>1500</v>
      </c>
      <c r="J314" s="61" t="s">
        <v>355</v>
      </c>
      <c r="K314" s="53">
        <v>45924</v>
      </c>
    </row>
    <row r="315" spans="1:11" ht="29" x14ac:dyDescent="0.35">
      <c r="A315" s="3">
        <v>314</v>
      </c>
      <c r="B315" s="49" t="s">
        <v>345</v>
      </c>
      <c r="C315" s="50">
        <v>395</v>
      </c>
      <c r="D315" s="161">
        <v>0</v>
      </c>
      <c r="E315" s="50">
        <f t="shared" si="12"/>
        <v>395</v>
      </c>
      <c r="F315" s="51">
        <v>1</v>
      </c>
      <c r="G315" s="52" t="s">
        <v>14</v>
      </c>
      <c r="H315" s="50">
        <f t="shared" si="13"/>
        <v>395</v>
      </c>
      <c r="I315" s="50">
        <f t="shared" si="14"/>
        <v>395</v>
      </c>
      <c r="J315" s="61" t="s">
        <v>355</v>
      </c>
      <c r="K315" s="53">
        <v>45924</v>
      </c>
    </row>
    <row r="316" spans="1:11" ht="29" x14ac:dyDescent="0.35">
      <c r="A316" s="3">
        <v>315</v>
      </c>
      <c r="B316" s="49" t="s">
        <v>346</v>
      </c>
      <c r="C316" s="50">
        <v>48</v>
      </c>
      <c r="D316" s="161">
        <v>0</v>
      </c>
      <c r="E316" s="50">
        <f t="shared" si="12"/>
        <v>48</v>
      </c>
      <c r="F316" s="51">
        <v>5</v>
      </c>
      <c r="G316" s="52" t="s">
        <v>14</v>
      </c>
      <c r="H316" s="50">
        <f t="shared" si="13"/>
        <v>240</v>
      </c>
      <c r="I316" s="50">
        <f t="shared" si="14"/>
        <v>240</v>
      </c>
      <c r="J316" s="61" t="s">
        <v>355</v>
      </c>
      <c r="K316" s="53">
        <v>45924</v>
      </c>
    </row>
    <row r="317" spans="1:11" ht="29" x14ac:dyDescent="0.35">
      <c r="A317" s="3">
        <v>316</v>
      </c>
      <c r="B317" s="49" t="s">
        <v>347</v>
      </c>
      <c r="C317" s="50">
        <v>28</v>
      </c>
      <c r="D317" s="161">
        <v>0</v>
      </c>
      <c r="E317" s="50">
        <f t="shared" si="12"/>
        <v>28</v>
      </c>
      <c r="F317" s="51">
        <v>10</v>
      </c>
      <c r="G317" s="52" t="s">
        <v>14</v>
      </c>
      <c r="H317" s="50">
        <f t="shared" si="13"/>
        <v>280</v>
      </c>
      <c r="I317" s="50">
        <f t="shared" si="14"/>
        <v>280</v>
      </c>
      <c r="J317" s="61" t="s">
        <v>355</v>
      </c>
      <c r="K317" s="53">
        <v>45924</v>
      </c>
    </row>
    <row r="318" spans="1:11" ht="29" x14ac:dyDescent="0.35">
      <c r="A318" s="3">
        <v>317</v>
      </c>
      <c r="B318" s="49" t="s">
        <v>348</v>
      </c>
      <c r="C318" s="50">
        <v>190</v>
      </c>
      <c r="D318" s="161">
        <v>0</v>
      </c>
      <c r="E318" s="50">
        <f t="shared" si="12"/>
        <v>190</v>
      </c>
      <c r="F318" s="51">
        <v>1</v>
      </c>
      <c r="G318" s="52" t="s">
        <v>14</v>
      </c>
      <c r="H318" s="50">
        <f t="shared" si="13"/>
        <v>190</v>
      </c>
      <c r="I318" s="50">
        <f t="shared" si="14"/>
        <v>190</v>
      </c>
      <c r="J318" s="61" t="s">
        <v>355</v>
      </c>
      <c r="K318" s="53">
        <v>45924</v>
      </c>
    </row>
    <row r="319" spans="1:11" ht="29" x14ac:dyDescent="0.35">
      <c r="A319" s="3">
        <v>318</v>
      </c>
      <c r="B319" s="49" t="s">
        <v>349</v>
      </c>
      <c r="C319" s="50">
        <v>170</v>
      </c>
      <c r="D319" s="161">
        <v>0</v>
      </c>
      <c r="E319" s="50">
        <f t="shared" si="12"/>
        <v>170</v>
      </c>
      <c r="F319" s="51">
        <v>2</v>
      </c>
      <c r="G319" s="52" t="s">
        <v>14</v>
      </c>
      <c r="H319" s="50">
        <f t="shared" si="13"/>
        <v>340</v>
      </c>
      <c r="I319" s="50">
        <f t="shared" si="14"/>
        <v>340</v>
      </c>
      <c r="J319" s="61" t="s">
        <v>355</v>
      </c>
      <c r="K319" s="53">
        <v>45924</v>
      </c>
    </row>
    <row r="320" spans="1:11" ht="29" x14ac:dyDescent="0.35">
      <c r="A320" s="3">
        <v>319</v>
      </c>
      <c r="B320" s="49" t="s">
        <v>350</v>
      </c>
      <c r="C320" s="50">
        <v>650</v>
      </c>
      <c r="D320" s="161">
        <v>0</v>
      </c>
      <c r="E320" s="50">
        <f t="shared" si="12"/>
        <v>650</v>
      </c>
      <c r="F320" s="51">
        <v>1</v>
      </c>
      <c r="G320" s="52" t="s">
        <v>14</v>
      </c>
      <c r="H320" s="50">
        <f t="shared" si="13"/>
        <v>650</v>
      </c>
      <c r="I320" s="50">
        <f t="shared" si="14"/>
        <v>650</v>
      </c>
      <c r="J320" s="61" t="s">
        <v>355</v>
      </c>
      <c r="K320" s="53">
        <v>45924</v>
      </c>
    </row>
    <row r="321" spans="1:11" ht="29" x14ac:dyDescent="0.35">
      <c r="A321" s="3">
        <v>320</v>
      </c>
      <c r="B321" s="49" t="s">
        <v>351</v>
      </c>
      <c r="C321" s="50">
        <v>8</v>
      </c>
      <c r="D321" s="161">
        <v>0</v>
      </c>
      <c r="E321" s="50">
        <f t="shared" si="12"/>
        <v>8</v>
      </c>
      <c r="F321" s="51">
        <v>2</v>
      </c>
      <c r="G321" s="52" t="s">
        <v>14</v>
      </c>
      <c r="H321" s="50">
        <f t="shared" si="13"/>
        <v>16</v>
      </c>
      <c r="I321" s="50">
        <f t="shared" si="14"/>
        <v>16</v>
      </c>
      <c r="J321" s="61" t="s">
        <v>355</v>
      </c>
      <c r="K321" s="53">
        <v>45924</v>
      </c>
    </row>
    <row r="322" spans="1:11" ht="29" x14ac:dyDescent="0.35">
      <c r="A322" s="3">
        <v>321</v>
      </c>
      <c r="B322" s="49" t="s">
        <v>352</v>
      </c>
      <c r="C322" s="50">
        <v>2010</v>
      </c>
      <c r="D322" s="161">
        <v>0</v>
      </c>
      <c r="E322" s="50">
        <f t="shared" si="12"/>
        <v>2010</v>
      </c>
      <c r="F322" s="51">
        <v>4</v>
      </c>
      <c r="G322" s="52" t="s">
        <v>14</v>
      </c>
      <c r="H322" s="50">
        <f t="shared" si="13"/>
        <v>8040</v>
      </c>
      <c r="I322" s="50">
        <f t="shared" si="14"/>
        <v>8040</v>
      </c>
      <c r="J322" s="61" t="s">
        <v>355</v>
      </c>
      <c r="K322" s="53">
        <v>45924</v>
      </c>
    </row>
    <row r="323" spans="1:11" x14ac:dyDescent="0.35">
      <c r="A323" s="3">
        <v>322</v>
      </c>
      <c r="B323" s="61" t="s">
        <v>353</v>
      </c>
      <c r="C323" s="50">
        <v>100</v>
      </c>
      <c r="D323" s="161">
        <v>0</v>
      </c>
      <c r="E323" s="50">
        <f t="shared" ref="E323:E386" si="15">C323*(1-D323)</f>
        <v>100</v>
      </c>
      <c r="F323" s="51">
        <v>4</v>
      </c>
      <c r="G323" s="52" t="s">
        <v>14</v>
      </c>
      <c r="H323" s="50">
        <f t="shared" ref="H323:H386" si="16">C323*F323</f>
        <v>400</v>
      </c>
      <c r="I323" s="50">
        <f t="shared" ref="I323:I386" si="17">E323*F323</f>
        <v>400</v>
      </c>
      <c r="J323" s="61" t="s">
        <v>355</v>
      </c>
      <c r="K323" s="53">
        <v>45924</v>
      </c>
    </row>
    <row r="324" spans="1:11" ht="29" x14ac:dyDescent="0.35">
      <c r="A324" s="3">
        <v>323</v>
      </c>
      <c r="B324" s="49" t="s">
        <v>354</v>
      </c>
      <c r="C324" s="50">
        <v>347</v>
      </c>
      <c r="D324" s="161">
        <v>0</v>
      </c>
      <c r="E324" s="50">
        <f t="shared" si="15"/>
        <v>347</v>
      </c>
      <c r="F324" s="51">
        <v>16</v>
      </c>
      <c r="G324" s="52" t="s">
        <v>14</v>
      </c>
      <c r="H324" s="50">
        <f t="shared" si="16"/>
        <v>5552</v>
      </c>
      <c r="I324" s="50">
        <f t="shared" si="17"/>
        <v>5552</v>
      </c>
      <c r="J324" s="61" t="s">
        <v>355</v>
      </c>
      <c r="K324" s="53">
        <v>45924</v>
      </c>
    </row>
    <row r="325" spans="1:11" x14ac:dyDescent="0.35">
      <c r="A325" s="3">
        <v>324</v>
      </c>
      <c r="B325" s="126" t="s">
        <v>356</v>
      </c>
      <c r="C325" s="123">
        <v>482.6816</v>
      </c>
      <c r="D325" s="173">
        <v>0</v>
      </c>
      <c r="E325" s="123">
        <f t="shared" si="15"/>
        <v>482.6816</v>
      </c>
      <c r="F325" s="124">
        <v>33.200000000000003</v>
      </c>
      <c r="G325" s="125" t="s">
        <v>357</v>
      </c>
      <c r="H325" s="123">
        <f t="shared" si="16"/>
        <v>16025.029120000001</v>
      </c>
      <c r="I325" s="123">
        <f t="shared" si="17"/>
        <v>16025.029120000001</v>
      </c>
      <c r="J325" s="126" t="s">
        <v>355</v>
      </c>
      <c r="K325" s="127">
        <v>45925</v>
      </c>
    </row>
    <row r="326" spans="1:11" ht="29" x14ac:dyDescent="0.35">
      <c r="A326" s="3">
        <v>325</v>
      </c>
      <c r="B326" s="139" t="s">
        <v>348</v>
      </c>
      <c r="C326" s="135">
        <v>190</v>
      </c>
      <c r="D326" s="175">
        <v>0</v>
      </c>
      <c r="E326" s="135">
        <f t="shared" si="15"/>
        <v>190</v>
      </c>
      <c r="F326" s="136">
        <v>1</v>
      </c>
      <c r="G326" s="137" t="s">
        <v>14</v>
      </c>
      <c r="H326" s="135">
        <f t="shared" si="16"/>
        <v>190</v>
      </c>
      <c r="I326" s="135">
        <f t="shared" si="17"/>
        <v>190</v>
      </c>
      <c r="J326" s="134" t="s">
        <v>355</v>
      </c>
      <c r="K326" s="138">
        <v>45953</v>
      </c>
    </row>
    <row r="327" spans="1:11" x14ac:dyDescent="0.35">
      <c r="A327" s="3">
        <v>326</v>
      </c>
      <c r="B327" s="134" t="s">
        <v>346</v>
      </c>
      <c r="C327" s="135">
        <v>50</v>
      </c>
      <c r="D327" s="175">
        <v>0</v>
      </c>
      <c r="E327" s="135">
        <f t="shared" si="15"/>
        <v>50</v>
      </c>
      <c r="F327" s="136">
        <v>4</v>
      </c>
      <c r="G327" s="137" t="s">
        <v>14</v>
      </c>
      <c r="H327" s="135">
        <f t="shared" si="16"/>
        <v>200</v>
      </c>
      <c r="I327" s="135">
        <f t="shared" si="17"/>
        <v>200</v>
      </c>
      <c r="J327" s="134" t="s">
        <v>355</v>
      </c>
      <c r="K327" s="138">
        <v>45953</v>
      </c>
    </row>
    <row r="328" spans="1:11" x14ac:dyDescent="0.35">
      <c r="A328" s="3">
        <v>327</v>
      </c>
      <c r="B328" s="134" t="s">
        <v>358</v>
      </c>
      <c r="C328" s="135">
        <v>1050</v>
      </c>
      <c r="D328" s="175">
        <v>0</v>
      </c>
      <c r="E328" s="135">
        <f t="shared" si="15"/>
        <v>1050</v>
      </c>
      <c r="F328" s="136">
        <v>1</v>
      </c>
      <c r="G328" s="137" t="s">
        <v>14</v>
      </c>
      <c r="H328" s="135">
        <f t="shared" si="16"/>
        <v>1050</v>
      </c>
      <c r="I328" s="135">
        <f t="shared" si="17"/>
        <v>1050</v>
      </c>
      <c r="J328" s="134" t="s">
        <v>355</v>
      </c>
      <c r="K328" s="138">
        <v>45953</v>
      </c>
    </row>
    <row r="329" spans="1:11" x14ac:dyDescent="0.35">
      <c r="A329" s="3">
        <v>328</v>
      </c>
      <c r="B329" s="134" t="s">
        <v>356</v>
      </c>
      <c r="C329" s="135">
        <v>525</v>
      </c>
      <c r="D329" s="175">
        <v>0</v>
      </c>
      <c r="E329" s="135">
        <f t="shared" si="15"/>
        <v>525</v>
      </c>
      <c r="F329" s="136">
        <v>4</v>
      </c>
      <c r="G329" s="137" t="s">
        <v>14</v>
      </c>
      <c r="H329" s="135">
        <f t="shared" si="16"/>
        <v>2100</v>
      </c>
      <c r="I329" s="135">
        <f t="shared" si="17"/>
        <v>2100</v>
      </c>
      <c r="J329" s="134" t="s">
        <v>355</v>
      </c>
      <c r="K329" s="138">
        <v>45953</v>
      </c>
    </row>
    <row r="330" spans="1:11" x14ac:dyDescent="0.35">
      <c r="A330" s="3">
        <v>329</v>
      </c>
      <c r="B330" s="90" t="s">
        <v>359</v>
      </c>
      <c r="C330" s="87">
        <v>30000</v>
      </c>
      <c r="D330" s="167">
        <v>0</v>
      </c>
      <c r="E330" s="87">
        <f t="shared" si="15"/>
        <v>30000</v>
      </c>
      <c r="F330" s="88">
        <v>1</v>
      </c>
      <c r="G330" s="89" t="s">
        <v>14</v>
      </c>
      <c r="H330" s="87">
        <f t="shared" si="16"/>
        <v>30000</v>
      </c>
      <c r="I330" s="87">
        <f t="shared" si="17"/>
        <v>30000</v>
      </c>
      <c r="J330" s="90" t="s">
        <v>362</v>
      </c>
      <c r="K330" s="91">
        <v>45930</v>
      </c>
    </row>
    <row r="331" spans="1:11" x14ac:dyDescent="0.35">
      <c r="A331" s="3">
        <v>330</v>
      </c>
      <c r="B331" s="90" t="s">
        <v>360</v>
      </c>
      <c r="C331" s="87">
        <v>350</v>
      </c>
      <c r="D331" s="167">
        <v>0</v>
      </c>
      <c r="E331" s="87">
        <f t="shared" si="15"/>
        <v>350</v>
      </c>
      <c r="F331" s="88">
        <v>2</v>
      </c>
      <c r="G331" s="89" t="s">
        <v>14</v>
      </c>
      <c r="H331" s="87">
        <f t="shared" si="16"/>
        <v>700</v>
      </c>
      <c r="I331" s="87">
        <f t="shared" si="17"/>
        <v>700</v>
      </c>
      <c r="J331" s="90" t="s">
        <v>362</v>
      </c>
      <c r="K331" s="91">
        <v>45930</v>
      </c>
    </row>
    <row r="332" spans="1:11" x14ac:dyDescent="0.35">
      <c r="A332" s="3">
        <v>331</v>
      </c>
      <c r="B332" s="90" t="s">
        <v>361</v>
      </c>
      <c r="C332" s="87">
        <v>175</v>
      </c>
      <c r="D332" s="167">
        <v>0</v>
      </c>
      <c r="E332" s="87">
        <f t="shared" si="15"/>
        <v>175</v>
      </c>
      <c r="F332" s="88">
        <v>2</v>
      </c>
      <c r="G332" s="89" t="s">
        <v>14</v>
      </c>
      <c r="H332" s="87">
        <f t="shared" si="16"/>
        <v>350</v>
      </c>
      <c r="I332" s="87">
        <f t="shared" si="17"/>
        <v>350</v>
      </c>
      <c r="J332" s="90" t="s">
        <v>362</v>
      </c>
      <c r="K332" s="91">
        <v>45930</v>
      </c>
    </row>
    <row r="333" spans="1:11" x14ac:dyDescent="0.35">
      <c r="A333" s="3">
        <v>332</v>
      </c>
      <c r="B333" s="114" t="s">
        <v>363</v>
      </c>
      <c r="C333" s="111">
        <v>34900</v>
      </c>
      <c r="D333" s="171">
        <v>0</v>
      </c>
      <c r="E333" s="111">
        <f t="shared" si="15"/>
        <v>34900</v>
      </c>
      <c r="F333" s="112">
        <v>1</v>
      </c>
      <c r="G333" s="113" t="s">
        <v>14</v>
      </c>
      <c r="H333" s="111">
        <f t="shared" si="16"/>
        <v>34900</v>
      </c>
      <c r="I333" s="111">
        <f t="shared" si="17"/>
        <v>34900</v>
      </c>
      <c r="J333" s="114" t="s">
        <v>362</v>
      </c>
      <c r="K333" s="115">
        <v>45980</v>
      </c>
    </row>
    <row r="334" spans="1:11" x14ac:dyDescent="0.35">
      <c r="A334" s="3">
        <v>333</v>
      </c>
      <c r="B334" s="114" t="s">
        <v>360</v>
      </c>
      <c r="C334" s="111">
        <v>350</v>
      </c>
      <c r="D334" s="171">
        <v>0</v>
      </c>
      <c r="E334" s="111">
        <f t="shared" si="15"/>
        <v>350</v>
      </c>
      <c r="F334" s="112">
        <v>2</v>
      </c>
      <c r="G334" s="113" t="s">
        <v>14</v>
      </c>
      <c r="H334" s="111">
        <f t="shared" si="16"/>
        <v>700</v>
      </c>
      <c r="I334" s="111">
        <f t="shared" si="17"/>
        <v>700</v>
      </c>
      <c r="J334" s="114" t="s">
        <v>362</v>
      </c>
      <c r="K334" s="115">
        <v>45980</v>
      </c>
    </row>
    <row r="335" spans="1:11" x14ac:dyDescent="0.35">
      <c r="A335" s="3">
        <v>334</v>
      </c>
      <c r="B335" s="114" t="s">
        <v>361</v>
      </c>
      <c r="C335" s="111">
        <v>175</v>
      </c>
      <c r="D335" s="171">
        <v>0</v>
      </c>
      <c r="E335" s="111">
        <f t="shared" si="15"/>
        <v>175</v>
      </c>
      <c r="F335" s="112">
        <v>2</v>
      </c>
      <c r="G335" s="113" t="s">
        <v>14</v>
      </c>
      <c r="H335" s="111">
        <f t="shared" si="16"/>
        <v>350</v>
      </c>
      <c r="I335" s="111">
        <f t="shared" si="17"/>
        <v>350</v>
      </c>
      <c r="J335" s="114" t="s">
        <v>362</v>
      </c>
      <c r="K335" s="115">
        <v>45980</v>
      </c>
    </row>
    <row r="336" spans="1:11" ht="43.5" x14ac:dyDescent="0.35">
      <c r="A336" s="3">
        <v>335</v>
      </c>
      <c r="B336" s="92" t="s">
        <v>364</v>
      </c>
      <c r="C336" s="93">
        <v>50</v>
      </c>
      <c r="D336" s="168">
        <v>0</v>
      </c>
      <c r="E336" s="93">
        <f t="shared" si="15"/>
        <v>50</v>
      </c>
      <c r="F336" s="94">
        <v>7</v>
      </c>
      <c r="G336" s="95" t="s">
        <v>14</v>
      </c>
      <c r="H336" s="93">
        <f t="shared" si="16"/>
        <v>350</v>
      </c>
      <c r="I336" s="93">
        <f t="shared" si="17"/>
        <v>350</v>
      </c>
      <c r="J336" s="96" t="s">
        <v>366</v>
      </c>
      <c r="K336" s="97">
        <v>46006</v>
      </c>
    </row>
    <row r="337" spans="1:11" ht="58" x14ac:dyDescent="0.35">
      <c r="A337" s="3">
        <v>336</v>
      </c>
      <c r="B337" s="92" t="s">
        <v>365</v>
      </c>
      <c r="C337" s="93">
        <v>48</v>
      </c>
      <c r="D337" s="168">
        <v>0</v>
      </c>
      <c r="E337" s="93">
        <f t="shared" si="15"/>
        <v>48</v>
      </c>
      <c r="F337" s="94">
        <v>2</v>
      </c>
      <c r="G337" s="95" t="s">
        <v>14</v>
      </c>
      <c r="H337" s="93">
        <f t="shared" si="16"/>
        <v>96</v>
      </c>
      <c r="I337" s="93">
        <f t="shared" si="17"/>
        <v>96</v>
      </c>
      <c r="J337" s="96" t="s">
        <v>366</v>
      </c>
      <c r="K337" s="97">
        <v>46006</v>
      </c>
    </row>
    <row r="338" spans="1:11" ht="29" x14ac:dyDescent="0.35">
      <c r="A338" s="3">
        <v>337</v>
      </c>
      <c r="B338" s="86" t="s">
        <v>367</v>
      </c>
      <c r="C338" s="87">
        <v>9.9</v>
      </c>
      <c r="D338" s="167">
        <v>0.6</v>
      </c>
      <c r="E338" s="87">
        <f t="shared" si="15"/>
        <v>3.9600000000000004</v>
      </c>
      <c r="F338" s="88">
        <v>100</v>
      </c>
      <c r="G338" s="89" t="s">
        <v>13</v>
      </c>
      <c r="H338" s="87">
        <f t="shared" si="16"/>
        <v>990</v>
      </c>
      <c r="I338" s="87">
        <f t="shared" si="17"/>
        <v>396.00000000000006</v>
      </c>
      <c r="J338" s="90" t="s">
        <v>372</v>
      </c>
      <c r="K338" s="91">
        <v>45903</v>
      </c>
    </row>
    <row r="339" spans="1:11" ht="29" x14ac:dyDescent="0.35">
      <c r="A339" s="3">
        <v>338</v>
      </c>
      <c r="B339" s="86" t="s">
        <v>368</v>
      </c>
      <c r="C339" s="87">
        <v>9.9</v>
      </c>
      <c r="D339" s="167">
        <v>0.6</v>
      </c>
      <c r="E339" s="87">
        <f t="shared" si="15"/>
        <v>3.9600000000000004</v>
      </c>
      <c r="F339" s="88">
        <v>100</v>
      </c>
      <c r="G339" s="89" t="s">
        <v>13</v>
      </c>
      <c r="H339" s="87">
        <f t="shared" si="16"/>
        <v>990</v>
      </c>
      <c r="I339" s="87">
        <f t="shared" si="17"/>
        <v>396.00000000000006</v>
      </c>
      <c r="J339" s="90" t="s">
        <v>372</v>
      </c>
      <c r="K339" s="91">
        <v>45903</v>
      </c>
    </row>
    <row r="340" spans="1:11" ht="29" x14ac:dyDescent="0.35">
      <c r="A340" s="3">
        <v>339</v>
      </c>
      <c r="B340" s="86" t="s">
        <v>369</v>
      </c>
      <c r="C340" s="87">
        <v>28.4</v>
      </c>
      <c r="D340" s="167">
        <v>0.6</v>
      </c>
      <c r="E340" s="87">
        <f t="shared" si="15"/>
        <v>11.36</v>
      </c>
      <c r="F340" s="88">
        <v>100</v>
      </c>
      <c r="G340" s="89" t="s">
        <v>13</v>
      </c>
      <c r="H340" s="87">
        <f t="shared" si="16"/>
        <v>2840</v>
      </c>
      <c r="I340" s="87">
        <f t="shared" si="17"/>
        <v>1136</v>
      </c>
      <c r="J340" s="90" t="s">
        <v>372</v>
      </c>
      <c r="K340" s="91">
        <v>45903</v>
      </c>
    </row>
    <row r="341" spans="1:11" ht="29" x14ac:dyDescent="0.35">
      <c r="A341" s="3">
        <v>340</v>
      </c>
      <c r="B341" s="86" t="s">
        <v>370</v>
      </c>
      <c r="C341" s="87">
        <v>61.1</v>
      </c>
      <c r="D341" s="167">
        <v>0.6</v>
      </c>
      <c r="E341" s="87">
        <f t="shared" si="15"/>
        <v>24.44</v>
      </c>
      <c r="F341" s="88">
        <v>100</v>
      </c>
      <c r="G341" s="89" t="s">
        <v>13</v>
      </c>
      <c r="H341" s="87">
        <f t="shared" si="16"/>
        <v>6110</v>
      </c>
      <c r="I341" s="87">
        <f t="shared" si="17"/>
        <v>2444</v>
      </c>
      <c r="J341" s="90" t="s">
        <v>372</v>
      </c>
      <c r="K341" s="91">
        <v>45903</v>
      </c>
    </row>
    <row r="342" spans="1:11" ht="29" x14ac:dyDescent="0.35">
      <c r="A342" s="3">
        <v>341</v>
      </c>
      <c r="B342" s="86" t="s">
        <v>371</v>
      </c>
      <c r="C342" s="87">
        <v>25.9</v>
      </c>
      <c r="D342" s="167">
        <v>0.6</v>
      </c>
      <c r="E342" s="87">
        <f t="shared" si="15"/>
        <v>10.36</v>
      </c>
      <c r="F342" s="88">
        <v>100</v>
      </c>
      <c r="G342" s="89" t="s">
        <v>13</v>
      </c>
      <c r="H342" s="87">
        <f t="shared" si="16"/>
        <v>2590</v>
      </c>
      <c r="I342" s="87">
        <f t="shared" si="17"/>
        <v>1036</v>
      </c>
      <c r="J342" s="90" t="s">
        <v>372</v>
      </c>
      <c r="K342" s="91">
        <v>45903</v>
      </c>
    </row>
    <row r="343" spans="1:11" ht="29" x14ac:dyDescent="0.35">
      <c r="A343" s="3">
        <v>342</v>
      </c>
      <c r="B343" s="139" t="s">
        <v>373</v>
      </c>
      <c r="C343" s="135">
        <v>248.3</v>
      </c>
      <c r="D343" s="175">
        <v>0.59</v>
      </c>
      <c r="E343" s="135">
        <f t="shared" si="15"/>
        <v>101.80300000000001</v>
      </c>
      <c r="F343" s="136">
        <v>25</v>
      </c>
      <c r="G343" s="137" t="s">
        <v>13</v>
      </c>
      <c r="H343" s="135">
        <f t="shared" si="16"/>
        <v>6207.5</v>
      </c>
      <c r="I343" s="135">
        <f t="shared" si="17"/>
        <v>2545.0750000000003</v>
      </c>
      <c r="J343" s="134" t="s">
        <v>372</v>
      </c>
      <c r="K343" s="138">
        <v>45919</v>
      </c>
    </row>
    <row r="344" spans="1:11" x14ac:dyDescent="0.35">
      <c r="A344" s="3">
        <v>343</v>
      </c>
      <c r="B344" s="78" t="s">
        <v>374</v>
      </c>
      <c r="C344" s="75">
        <v>201</v>
      </c>
      <c r="D344" s="165">
        <v>0.57999999999999996</v>
      </c>
      <c r="E344" s="75">
        <f t="shared" si="15"/>
        <v>84.42</v>
      </c>
      <c r="F344" s="76">
        <v>75</v>
      </c>
      <c r="G344" s="77" t="s">
        <v>13</v>
      </c>
      <c r="H344" s="75">
        <f t="shared" si="16"/>
        <v>15075</v>
      </c>
      <c r="I344" s="75">
        <f t="shared" si="17"/>
        <v>6331.5</v>
      </c>
      <c r="J344" s="78" t="s">
        <v>372</v>
      </c>
      <c r="K344" s="79">
        <v>45931</v>
      </c>
    </row>
    <row r="345" spans="1:11" ht="29" x14ac:dyDescent="0.35">
      <c r="A345" s="3">
        <v>344</v>
      </c>
      <c r="B345" s="92" t="s">
        <v>375</v>
      </c>
      <c r="C345" s="93">
        <v>120.83329999999999</v>
      </c>
      <c r="D345" s="168">
        <v>0</v>
      </c>
      <c r="E345" s="93">
        <f t="shared" si="15"/>
        <v>120.83329999999999</v>
      </c>
      <c r="F345" s="94">
        <v>30</v>
      </c>
      <c r="G345" s="95" t="s">
        <v>13</v>
      </c>
      <c r="H345" s="93">
        <f t="shared" si="16"/>
        <v>3624.9989999999998</v>
      </c>
      <c r="I345" s="93">
        <f t="shared" si="17"/>
        <v>3624.9989999999998</v>
      </c>
      <c r="J345" s="96" t="s">
        <v>372</v>
      </c>
      <c r="K345" s="97">
        <v>45932</v>
      </c>
    </row>
    <row r="346" spans="1:11" ht="29" x14ac:dyDescent="0.35">
      <c r="A346" s="3">
        <v>345</v>
      </c>
      <c r="B346" s="104" t="s">
        <v>376</v>
      </c>
      <c r="C346" s="105">
        <v>126.5</v>
      </c>
      <c r="D346" s="170">
        <v>0.59</v>
      </c>
      <c r="E346" s="105">
        <f t="shared" si="15"/>
        <v>51.865000000000002</v>
      </c>
      <c r="F346" s="106">
        <v>100</v>
      </c>
      <c r="G346" s="107" t="s">
        <v>13</v>
      </c>
      <c r="H346" s="105">
        <f t="shared" si="16"/>
        <v>12650</v>
      </c>
      <c r="I346" s="105">
        <f t="shared" si="17"/>
        <v>5186.5</v>
      </c>
      <c r="J346" s="108" t="s">
        <v>372</v>
      </c>
      <c r="K346" s="109">
        <v>45953</v>
      </c>
    </row>
    <row r="347" spans="1:11" ht="29" x14ac:dyDescent="0.35">
      <c r="A347" s="3">
        <v>346</v>
      </c>
      <c r="B347" s="104" t="s">
        <v>377</v>
      </c>
      <c r="C347" s="105">
        <v>61.1</v>
      </c>
      <c r="D347" s="170">
        <v>0.59</v>
      </c>
      <c r="E347" s="105">
        <f t="shared" si="15"/>
        <v>25.051000000000002</v>
      </c>
      <c r="F347" s="106">
        <v>100</v>
      </c>
      <c r="G347" s="107" t="s">
        <v>13</v>
      </c>
      <c r="H347" s="105">
        <f t="shared" si="16"/>
        <v>6110</v>
      </c>
      <c r="I347" s="105">
        <f t="shared" si="17"/>
        <v>2505.1000000000004</v>
      </c>
      <c r="J347" s="108" t="s">
        <v>372</v>
      </c>
      <c r="K347" s="109">
        <v>45953</v>
      </c>
    </row>
    <row r="348" spans="1:11" ht="29" x14ac:dyDescent="0.35">
      <c r="A348" s="3">
        <v>347</v>
      </c>
      <c r="B348" s="104" t="s">
        <v>378</v>
      </c>
      <c r="C348" s="105">
        <v>96.3</v>
      </c>
      <c r="D348" s="170">
        <v>0.59</v>
      </c>
      <c r="E348" s="105">
        <f t="shared" si="15"/>
        <v>39.483000000000004</v>
      </c>
      <c r="F348" s="106">
        <v>100</v>
      </c>
      <c r="G348" s="107" t="s">
        <v>13</v>
      </c>
      <c r="H348" s="105">
        <f t="shared" si="16"/>
        <v>9630</v>
      </c>
      <c r="I348" s="105">
        <f t="shared" si="17"/>
        <v>3948.3</v>
      </c>
      <c r="J348" s="108" t="s">
        <v>372</v>
      </c>
      <c r="K348" s="109">
        <v>45953</v>
      </c>
    </row>
    <row r="349" spans="1:11" ht="29" x14ac:dyDescent="0.35">
      <c r="A349" s="3">
        <v>348</v>
      </c>
      <c r="B349" s="74" t="s">
        <v>379</v>
      </c>
      <c r="C349" s="75">
        <v>7.5</v>
      </c>
      <c r="D349" s="165">
        <v>0</v>
      </c>
      <c r="E349" s="75">
        <f t="shared" si="15"/>
        <v>7.5</v>
      </c>
      <c r="F349" s="76">
        <v>30</v>
      </c>
      <c r="G349" s="77" t="s">
        <v>14</v>
      </c>
      <c r="H349" s="75">
        <f t="shared" si="16"/>
        <v>225</v>
      </c>
      <c r="I349" s="75">
        <f t="shared" si="17"/>
        <v>225</v>
      </c>
      <c r="J349" s="78" t="s">
        <v>372</v>
      </c>
      <c r="K349" s="79">
        <v>45960</v>
      </c>
    </row>
    <row r="350" spans="1:11" ht="29" x14ac:dyDescent="0.35">
      <c r="A350" s="3">
        <v>349</v>
      </c>
      <c r="B350" s="74" t="s">
        <v>380</v>
      </c>
      <c r="C350" s="75">
        <v>9.5</v>
      </c>
      <c r="D350" s="165">
        <v>0</v>
      </c>
      <c r="E350" s="75">
        <f t="shared" si="15"/>
        <v>9.5</v>
      </c>
      <c r="F350" s="76">
        <v>30</v>
      </c>
      <c r="G350" s="77" t="s">
        <v>14</v>
      </c>
      <c r="H350" s="75">
        <f t="shared" si="16"/>
        <v>285</v>
      </c>
      <c r="I350" s="75">
        <f t="shared" si="17"/>
        <v>285</v>
      </c>
      <c r="J350" s="78" t="s">
        <v>372</v>
      </c>
      <c r="K350" s="79">
        <v>45960</v>
      </c>
    </row>
    <row r="351" spans="1:11" ht="29" x14ac:dyDescent="0.35">
      <c r="A351" s="3">
        <v>350</v>
      </c>
      <c r="B351" s="74" t="s">
        <v>381</v>
      </c>
      <c r="C351" s="75">
        <v>119.8</v>
      </c>
      <c r="D351" s="165">
        <v>0.55000000000000004</v>
      </c>
      <c r="E351" s="75">
        <f t="shared" si="15"/>
        <v>53.91</v>
      </c>
      <c r="F351" s="76">
        <v>100</v>
      </c>
      <c r="G351" s="77" t="s">
        <v>13</v>
      </c>
      <c r="H351" s="75">
        <f t="shared" si="16"/>
        <v>11980</v>
      </c>
      <c r="I351" s="75">
        <f t="shared" si="17"/>
        <v>5391</v>
      </c>
      <c r="J351" s="78" t="s">
        <v>372</v>
      </c>
      <c r="K351" s="79">
        <v>45960</v>
      </c>
    </row>
    <row r="352" spans="1:11" ht="29" x14ac:dyDescent="0.35">
      <c r="A352" s="3">
        <v>351</v>
      </c>
      <c r="B352" s="74" t="s">
        <v>382</v>
      </c>
      <c r="C352" s="75">
        <v>187.5</v>
      </c>
      <c r="D352" s="165">
        <v>0.55000000000000004</v>
      </c>
      <c r="E352" s="75">
        <f t="shared" si="15"/>
        <v>84.374999999999986</v>
      </c>
      <c r="F352" s="76">
        <v>100</v>
      </c>
      <c r="G352" s="77" t="s">
        <v>13</v>
      </c>
      <c r="H352" s="75">
        <f t="shared" si="16"/>
        <v>18750</v>
      </c>
      <c r="I352" s="75">
        <f t="shared" si="17"/>
        <v>8437.4999999999982</v>
      </c>
      <c r="J352" s="78" t="s">
        <v>372</v>
      </c>
      <c r="K352" s="79">
        <v>45960</v>
      </c>
    </row>
    <row r="353" spans="1:11" ht="29" x14ac:dyDescent="0.35">
      <c r="A353" s="3">
        <v>352</v>
      </c>
      <c r="B353" s="74" t="s">
        <v>383</v>
      </c>
      <c r="C353" s="75">
        <v>67.2</v>
      </c>
      <c r="D353" s="165">
        <v>0.55000000000000004</v>
      </c>
      <c r="E353" s="75">
        <f t="shared" si="15"/>
        <v>30.24</v>
      </c>
      <c r="F353" s="76">
        <v>100</v>
      </c>
      <c r="G353" s="77" t="s">
        <v>13</v>
      </c>
      <c r="H353" s="75">
        <f t="shared" si="16"/>
        <v>6720</v>
      </c>
      <c r="I353" s="75">
        <f t="shared" si="17"/>
        <v>3024</v>
      </c>
      <c r="J353" s="78" t="s">
        <v>372</v>
      </c>
      <c r="K353" s="79">
        <v>45960</v>
      </c>
    </row>
    <row r="354" spans="1:11" ht="29" x14ac:dyDescent="0.35">
      <c r="A354" s="3">
        <v>353</v>
      </c>
      <c r="B354" s="74" t="s">
        <v>384</v>
      </c>
      <c r="C354" s="75">
        <v>294.8</v>
      </c>
      <c r="D354" s="165">
        <v>0.55000000000000004</v>
      </c>
      <c r="E354" s="75">
        <f t="shared" si="15"/>
        <v>132.66</v>
      </c>
      <c r="F354" s="76">
        <v>100</v>
      </c>
      <c r="G354" s="77" t="s">
        <v>13</v>
      </c>
      <c r="H354" s="75">
        <f t="shared" si="16"/>
        <v>29480</v>
      </c>
      <c r="I354" s="75">
        <f t="shared" si="17"/>
        <v>13266</v>
      </c>
      <c r="J354" s="78" t="s">
        <v>372</v>
      </c>
      <c r="K354" s="79">
        <v>45960</v>
      </c>
    </row>
    <row r="355" spans="1:11" ht="29" x14ac:dyDescent="0.35">
      <c r="A355" s="3">
        <v>354</v>
      </c>
      <c r="B355" s="74" t="s">
        <v>385</v>
      </c>
      <c r="C355" s="75">
        <v>11</v>
      </c>
      <c r="D355" s="165">
        <v>0</v>
      </c>
      <c r="E355" s="75">
        <f t="shared" si="15"/>
        <v>11</v>
      </c>
      <c r="F355" s="76">
        <v>10</v>
      </c>
      <c r="G355" s="77" t="s">
        <v>14</v>
      </c>
      <c r="H355" s="75">
        <f t="shared" si="16"/>
        <v>110</v>
      </c>
      <c r="I355" s="75">
        <f t="shared" si="17"/>
        <v>110</v>
      </c>
      <c r="J355" s="78" t="s">
        <v>372</v>
      </c>
      <c r="K355" s="79">
        <v>45960</v>
      </c>
    </row>
    <row r="356" spans="1:11" ht="29" x14ac:dyDescent="0.35">
      <c r="A356" s="3">
        <v>355</v>
      </c>
      <c r="B356" s="60" t="s">
        <v>367</v>
      </c>
      <c r="C356" s="56">
        <v>9.9</v>
      </c>
      <c r="D356" s="162">
        <v>0.53</v>
      </c>
      <c r="E356" s="56">
        <f t="shared" si="15"/>
        <v>4.6529999999999996</v>
      </c>
      <c r="F356" s="57">
        <v>100</v>
      </c>
      <c r="G356" s="58" t="s">
        <v>13</v>
      </c>
      <c r="H356" s="56">
        <f t="shared" si="16"/>
        <v>990</v>
      </c>
      <c r="I356" s="56">
        <f t="shared" si="17"/>
        <v>465.29999999999995</v>
      </c>
      <c r="J356" s="55" t="s">
        <v>372</v>
      </c>
      <c r="K356" s="59">
        <v>45992</v>
      </c>
    </row>
    <row r="357" spans="1:11" ht="29" x14ac:dyDescent="0.35">
      <c r="A357" s="3">
        <v>356</v>
      </c>
      <c r="B357" s="60" t="s">
        <v>368</v>
      </c>
      <c r="C357" s="56">
        <v>9.9</v>
      </c>
      <c r="D357" s="162">
        <v>0.53</v>
      </c>
      <c r="E357" s="56">
        <f t="shared" si="15"/>
        <v>4.6529999999999996</v>
      </c>
      <c r="F357" s="57">
        <v>100</v>
      </c>
      <c r="G357" s="58" t="s">
        <v>13</v>
      </c>
      <c r="H357" s="56">
        <f t="shared" si="16"/>
        <v>990</v>
      </c>
      <c r="I357" s="56">
        <f t="shared" si="17"/>
        <v>465.29999999999995</v>
      </c>
      <c r="J357" s="55" t="s">
        <v>372</v>
      </c>
      <c r="K357" s="59">
        <v>45992</v>
      </c>
    </row>
    <row r="358" spans="1:11" ht="29" x14ac:dyDescent="0.35">
      <c r="A358" s="3">
        <v>357</v>
      </c>
      <c r="B358" s="60" t="s">
        <v>386</v>
      </c>
      <c r="C358" s="56">
        <v>1.6</v>
      </c>
      <c r="D358" s="162">
        <v>0.45</v>
      </c>
      <c r="E358" s="56">
        <f t="shared" si="15"/>
        <v>0.88000000000000012</v>
      </c>
      <c r="F358" s="57">
        <v>100</v>
      </c>
      <c r="G358" s="58" t="s">
        <v>14</v>
      </c>
      <c r="H358" s="56">
        <f t="shared" si="16"/>
        <v>160</v>
      </c>
      <c r="I358" s="56">
        <f t="shared" si="17"/>
        <v>88.000000000000014</v>
      </c>
      <c r="J358" s="55" t="s">
        <v>372</v>
      </c>
      <c r="K358" s="59">
        <v>45992</v>
      </c>
    </row>
    <row r="359" spans="1:11" ht="29" x14ac:dyDescent="0.35">
      <c r="A359" s="3">
        <v>358</v>
      </c>
      <c r="B359" s="116" t="s">
        <v>370</v>
      </c>
      <c r="C359" s="117">
        <v>61.1</v>
      </c>
      <c r="D359" s="172">
        <v>0.53</v>
      </c>
      <c r="E359" s="117">
        <f t="shared" si="15"/>
        <v>28.716999999999999</v>
      </c>
      <c r="F359" s="118">
        <v>100</v>
      </c>
      <c r="G359" s="119" t="s">
        <v>13</v>
      </c>
      <c r="H359" s="117">
        <f t="shared" si="16"/>
        <v>6110</v>
      </c>
      <c r="I359" s="117">
        <f t="shared" si="17"/>
        <v>2871.7</v>
      </c>
      <c r="J359" s="120" t="s">
        <v>372</v>
      </c>
      <c r="K359" s="121">
        <v>45992</v>
      </c>
    </row>
    <row r="360" spans="1:11" x14ac:dyDescent="0.35">
      <c r="A360" s="3">
        <v>359</v>
      </c>
      <c r="B360" s="96" t="s">
        <v>387</v>
      </c>
      <c r="C360" s="93">
        <v>88000</v>
      </c>
      <c r="D360" s="168">
        <v>0</v>
      </c>
      <c r="E360" s="93">
        <f t="shared" si="15"/>
        <v>88000</v>
      </c>
      <c r="F360" s="94">
        <v>1</v>
      </c>
      <c r="G360" s="95" t="s">
        <v>14</v>
      </c>
      <c r="H360" s="93">
        <f t="shared" si="16"/>
        <v>88000</v>
      </c>
      <c r="I360" s="93">
        <f t="shared" si="17"/>
        <v>88000</v>
      </c>
      <c r="J360" s="96" t="s">
        <v>390</v>
      </c>
      <c r="K360" s="97">
        <v>45930</v>
      </c>
    </row>
    <row r="361" spans="1:11" x14ac:dyDescent="0.35">
      <c r="A361" s="3">
        <v>360</v>
      </c>
      <c r="B361" s="96" t="s">
        <v>388</v>
      </c>
      <c r="C361" s="93">
        <v>36171.5</v>
      </c>
      <c r="D361" s="168">
        <v>0</v>
      </c>
      <c r="E361" s="93">
        <f t="shared" si="15"/>
        <v>36171.5</v>
      </c>
      <c r="F361" s="94">
        <v>3</v>
      </c>
      <c r="G361" s="95" t="s">
        <v>14</v>
      </c>
      <c r="H361" s="93">
        <f t="shared" si="16"/>
        <v>108514.5</v>
      </c>
      <c r="I361" s="93">
        <f t="shared" si="17"/>
        <v>108514.5</v>
      </c>
      <c r="J361" s="96" t="s">
        <v>390</v>
      </c>
      <c r="K361" s="97">
        <v>45930</v>
      </c>
    </row>
    <row r="362" spans="1:11" x14ac:dyDescent="0.35">
      <c r="A362" s="3">
        <v>361</v>
      </c>
      <c r="B362" s="96" t="s">
        <v>389</v>
      </c>
      <c r="C362" s="93">
        <v>21757.42</v>
      </c>
      <c r="D362" s="168">
        <v>0</v>
      </c>
      <c r="E362" s="93">
        <f t="shared" si="15"/>
        <v>21757.42</v>
      </c>
      <c r="F362" s="94">
        <v>1</v>
      </c>
      <c r="G362" s="95" t="s">
        <v>14</v>
      </c>
      <c r="H362" s="93">
        <f t="shared" si="16"/>
        <v>21757.42</v>
      </c>
      <c r="I362" s="93">
        <f t="shared" si="17"/>
        <v>21757.42</v>
      </c>
      <c r="J362" s="96" t="s">
        <v>390</v>
      </c>
      <c r="K362" s="97">
        <v>45930</v>
      </c>
    </row>
    <row r="363" spans="1:11" x14ac:dyDescent="0.35">
      <c r="A363" s="3">
        <v>362</v>
      </c>
      <c r="B363" s="54" t="s">
        <v>391</v>
      </c>
      <c r="C363" s="28">
        <v>11.5</v>
      </c>
      <c r="D363" s="157">
        <v>0</v>
      </c>
      <c r="E363" s="28">
        <f t="shared" si="15"/>
        <v>11.5</v>
      </c>
      <c r="F363" s="29">
        <v>50</v>
      </c>
      <c r="G363" s="30" t="s">
        <v>13</v>
      </c>
      <c r="H363" s="28">
        <f t="shared" si="16"/>
        <v>575</v>
      </c>
      <c r="I363" s="28">
        <f t="shared" si="17"/>
        <v>575</v>
      </c>
      <c r="J363" s="54" t="s">
        <v>406</v>
      </c>
      <c r="K363" s="31">
        <v>45853</v>
      </c>
    </row>
    <row r="364" spans="1:11" ht="29" x14ac:dyDescent="0.35">
      <c r="A364" s="3">
        <v>363</v>
      </c>
      <c r="B364" s="27" t="s">
        <v>392</v>
      </c>
      <c r="C364" s="28">
        <v>2.2999999999999998</v>
      </c>
      <c r="D364" s="157">
        <v>0.5</v>
      </c>
      <c r="E364" s="28">
        <f t="shared" si="15"/>
        <v>1.1499999999999999</v>
      </c>
      <c r="F364" s="29">
        <v>100</v>
      </c>
      <c r="G364" s="30" t="s">
        <v>14</v>
      </c>
      <c r="H364" s="28">
        <f t="shared" si="16"/>
        <v>229.99999999999997</v>
      </c>
      <c r="I364" s="28">
        <f t="shared" si="17"/>
        <v>114.99999999999999</v>
      </c>
      <c r="J364" s="54" t="s">
        <v>406</v>
      </c>
      <c r="K364" s="31">
        <v>45853</v>
      </c>
    </row>
    <row r="365" spans="1:11" ht="29" x14ac:dyDescent="0.35">
      <c r="A365" s="3">
        <v>364</v>
      </c>
      <c r="B365" s="27" t="s">
        <v>393</v>
      </c>
      <c r="C365" s="28">
        <v>30</v>
      </c>
      <c r="D365" s="157">
        <v>0</v>
      </c>
      <c r="E365" s="28">
        <f t="shared" si="15"/>
        <v>30</v>
      </c>
      <c r="F365" s="29">
        <v>1</v>
      </c>
      <c r="G365" s="30" t="s">
        <v>14</v>
      </c>
      <c r="H365" s="28">
        <f t="shared" si="16"/>
        <v>30</v>
      </c>
      <c r="I365" s="28">
        <f t="shared" si="17"/>
        <v>30</v>
      </c>
      <c r="J365" s="54" t="s">
        <v>406</v>
      </c>
      <c r="K365" s="31">
        <v>45853</v>
      </c>
    </row>
    <row r="366" spans="1:11" ht="29" x14ac:dyDescent="0.35">
      <c r="A366" s="3">
        <v>365</v>
      </c>
      <c r="B366" s="27" t="s">
        <v>394</v>
      </c>
      <c r="C366" s="28">
        <v>2365</v>
      </c>
      <c r="D366" s="157">
        <v>0.55000000000000004</v>
      </c>
      <c r="E366" s="28">
        <f t="shared" si="15"/>
        <v>1064.25</v>
      </c>
      <c r="F366" s="29">
        <v>1</v>
      </c>
      <c r="G366" s="30" t="s">
        <v>14</v>
      </c>
      <c r="H366" s="28">
        <f t="shared" si="16"/>
        <v>2365</v>
      </c>
      <c r="I366" s="28">
        <f t="shared" si="17"/>
        <v>1064.25</v>
      </c>
      <c r="J366" s="54" t="s">
        <v>406</v>
      </c>
      <c r="K366" s="31">
        <v>45853</v>
      </c>
    </row>
    <row r="367" spans="1:11" ht="29" x14ac:dyDescent="0.35">
      <c r="A367" s="3">
        <v>366</v>
      </c>
      <c r="B367" s="27" t="s">
        <v>395</v>
      </c>
      <c r="C367" s="28">
        <v>1118.5999999999999</v>
      </c>
      <c r="D367" s="157">
        <v>0.7</v>
      </c>
      <c r="E367" s="28">
        <f t="shared" si="15"/>
        <v>335.58000000000004</v>
      </c>
      <c r="F367" s="29">
        <v>2</v>
      </c>
      <c r="G367" s="30" t="s">
        <v>14</v>
      </c>
      <c r="H367" s="28">
        <f t="shared" si="16"/>
        <v>2237.1999999999998</v>
      </c>
      <c r="I367" s="28">
        <f t="shared" si="17"/>
        <v>671.16000000000008</v>
      </c>
      <c r="J367" s="54" t="s">
        <v>406</v>
      </c>
      <c r="K367" s="31">
        <v>45853</v>
      </c>
    </row>
    <row r="368" spans="1:11" ht="29" x14ac:dyDescent="0.35">
      <c r="A368" s="3">
        <v>367</v>
      </c>
      <c r="B368" s="27" t="s">
        <v>396</v>
      </c>
      <c r="C368" s="28">
        <v>1363</v>
      </c>
      <c r="D368" s="157">
        <v>0.7</v>
      </c>
      <c r="E368" s="28">
        <f t="shared" si="15"/>
        <v>408.90000000000003</v>
      </c>
      <c r="F368" s="29">
        <v>2</v>
      </c>
      <c r="G368" s="30" t="s">
        <v>14</v>
      </c>
      <c r="H368" s="28">
        <f t="shared" si="16"/>
        <v>2726</v>
      </c>
      <c r="I368" s="28">
        <f t="shared" si="17"/>
        <v>817.80000000000007</v>
      </c>
      <c r="J368" s="54" t="s">
        <v>406</v>
      </c>
      <c r="K368" s="31">
        <v>45853</v>
      </c>
    </row>
    <row r="369" spans="1:11" ht="43.5" x14ac:dyDescent="0.35">
      <c r="A369" s="3">
        <v>368</v>
      </c>
      <c r="B369" s="27" t="s">
        <v>397</v>
      </c>
      <c r="C369" s="28">
        <v>121.73</v>
      </c>
      <c r="D369" s="157">
        <v>0.7</v>
      </c>
      <c r="E369" s="28">
        <f t="shared" si="15"/>
        <v>36.519000000000005</v>
      </c>
      <c r="F369" s="29">
        <v>3</v>
      </c>
      <c r="G369" s="30" t="s">
        <v>14</v>
      </c>
      <c r="H369" s="28">
        <f t="shared" si="16"/>
        <v>365.19</v>
      </c>
      <c r="I369" s="28">
        <f t="shared" si="17"/>
        <v>109.55700000000002</v>
      </c>
      <c r="J369" s="54" t="s">
        <v>406</v>
      </c>
      <c r="K369" s="31">
        <v>45853</v>
      </c>
    </row>
    <row r="370" spans="1:11" ht="29" x14ac:dyDescent="0.35">
      <c r="A370" s="3">
        <v>369</v>
      </c>
      <c r="B370" s="27" t="s">
        <v>398</v>
      </c>
      <c r="C370" s="28">
        <v>2309.58</v>
      </c>
      <c r="D370" s="157">
        <v>0.7</v>
      </c>
      <c r="E370" s="28">
        <f t="shared" si="15"/>
        <v>692.87400000000014</v>
      </c>
      <c r="F370" s="29">
        <v>1</v>
      </c>
      <c r="G370" s="30" t="s">
        <v>14</v>
      </c>
      <c r="H370" s="28">
        <f t="shared" si="16"/>
        <v>2309.58</v>
      </c>
      <c r="I370" s="28">
        <f t="shared" si="17"/>
        <v>692.87400000000014</v>
      </c>
      <c r="J370" s="54" t="s">
        <v>406</v>
      </c>
      <c r="K370" s="31">
        <v>45853</v>
      </c>
    </row>
    <row r="371" spans="1:11" ht="29" x14ac:dyDescent="0.35">
      <c r="A371" s="3">
        <v>370</v>
      </c>
      <c r="B371" s="27" t="s">
        <v>399</v>
      </c>
      <c r="C371" s="28">
        <v>50</v>
      </c>
      <c r="D371" s="157">
        <v>0</v>
      </c>
      <c r="E371" s="28">
        <f t="shared" si="15"/>
        <v>50</v>
      </c>
      <c r="F371" s="29">
        <v>2</v>
      </c>
      <c r="G371" s="30" t="s">
        <v>13</v>
      </c>
      <c r="H371" s="28">
        <f t="shared" si="16"/>
        <v>100</v>
      </c>
      <c r="I371" s="28">
        <f t="shared" si="17"/>
        <v>100</v>
      </c>
      <c r="J371" s="54" t="s">
        <v>406</v>
      </c>
      <c r="K371" s="31">
        <v>45853</v>
      </c>
    </row>
    <row r="372" spans="1:11" x14ac:dyDescent="0.35">
      <c r="A372" s="3">
        <v>371</v>
      </c>
      <c r="B372" s="54" t="s">
        <v>400</v>
      </c>
      <c r="C372" s="28">
        <v>5221.7</v>
      </c>
      <c r="D372" s="157">
        <v>0.7</v>
      </c>
      <c r="E372" s="28">
        <f t="shared" si="15"/>
        <v>1566.5100000000002</v>
      </c>
      <c r="F372" s="29">
        <v>2</v>
      </c>
      <c r="G372" s="30" t="s">
        <v>14</v>
      </c>
      <c r="H372" s="28">
        <f t="shared" si="16"/>
        <v>10443.4</v>
      </c>
      <c r="I372" s="28">
        <f t="shared" si="17"/>
        <v>3133.0200000000004</v>
      </c>
      <c r="J372" s="54" t="s">
        <v>406</v>
      </c>
      <c r="K372" s="31">
        <v>45853</v>
      </c>
    </row>
    <row r="373" spans="1:11" ht="29" x14ac:dyDescent="0.35">
      <c r="A373" s="3">
        <v>372</v>
      </c>
      <c r="B373" s="27" t="s">
        <v>401</v>
      </c>
      <c r="C373" s="28">
        <v>260.25</v>
      </c>
      <c r="D373" s="157">
        <v>0.4</v>
      </c>
      <c r="E373" s="28">
        <f t="shared" si="15"/>
        <v>156.15</v>
      </c>
      <c r="F373" s="29">
        <v>2</v>
      </c>
      <c r="G373" s="30" t="s">
        <v>14</v>
      </c>
      <c r="H373" s="28">
        <f t="shared" si="16"/>
        <v>520.5</v>
      </c>
      <c r="I373" s="28">
        <f t="shared" si="17"/>
        <v>312.3</v>
      </c>
      <c r="J373" s="54" t="s">
        <v>406</v>
      </c>
      <c r="K373" s="31">
        <v>45853</v>
      </c>
    </row>
    <row r="374" spans="1:11" x14ac:dyDescent="0.35">
      <c r="A374" s="3">
        <v>373</v>
      </c>
      <c r="B374" s="54" t="s">
        <v>402</v>
      </c>
      <c r="C374" s="28">
        <v>10</v>
      </c>
      <c r="D374" s="157">
        <v>0</v>
      </c>
      <c r="E374" s="28">
        <f t="shared" si="15"/>
        <v>10</v>
      </c>
      <c r="F374" s="29">
        <v>6</v>
      </c>
      <c r="G374" s="30" t="s">
        <v>14</v>
      </c>
      <c r="H374" s="28">
        <f t="shared" si="16"/>
        <v>60</v>
      </c>
      <c r="I374" s="28">
        <f t="shared" si="17"/>
        <v>60</v>
      </c>
      <c r="J374" s="54" t="s">
        <v>406</v>
      </c>
      <c r="K374" s="31">
        <v>45853</v>
      </c>
    </row>
    <row r="375" spans="1:11" x14ac:dyDescent="0.35">
      <c r="A375" s="3">
        <v>374</v>
      </c>
      <c r="B375" s="54" t="s">
        <v>403</v>
      </c>
      <c r="C375" s="28">
        <v>9.9</v>
      </c>
      <c r="D375" s="157">
        <v>0.42</v>
      </c>
      <c r="E375" s="28">
        <f t="shared" si="15"/>
        <v>5.7420000000000009</v>
      </c>
      <c r="F375" s="29">
        <v>4</v>
      </c>
      <c r="G375" s="30" t="s">
        <v>14</v>
      </c>
      <c r="H375" s="28">
        <f t="shared" si="16"/>
        <v>39.6</v>
      </c>
      <c r="I375" s="28">
        <f t="shared" si="17"/>
        <v>22.968000000000004</v>
      </c>
      <c r="J375" s="54" t="s">
        <v>406</v>
      </c>
      <c r="K375" s="31">
        <v>45853</v>
      </c>
    </row>
    <row r="376" spans="1:11" x14ac:dyDescent="0.35">
      <c r="A376" s="3">
        <v>375</v>
      </c>
      <c r="B376" s="54" t="s">
        <v>404</v>
      </c>
      <c r="C376" s="28">
        <v>83.62</v>
      </c>
      <c r="D376" s="157">
        <v>0.45</v>
      </c>
      <c r="E376" s="28">
        <f t="shared" si="15"/>
        <v>45.991000000000007</v>
      </c>
      <c r="F376" s="29">
        <v>16</v>
      </c>
      <c r="G376" s="30" t="s">
        <v>14</v>
      </c>
      <c r="H376" s="28">
        <f t="shared" si="16"/>
        <v>1337.92</v>
      </c>
      <c r="I376" s="28">
        <f t="shared" si="17"/>
        <v>735.85600000000011</v>
      </c>
      <c r="J376" s="54" t="s">
        <v>406</v>
      </c>
      <c r="K376" s="31">
        <v>45853</v>
      </c>
    </row>
    <row r="377" spans="1:11" x14ac:dyDescent="0.35">
      <c r="A377" s="3">
        <v>376</v>
      </c>
      <c r="B377" s="54" t="s">
        <v>405</v>
      </c>
      <c r="C377" s="28">
        <v>44</v>
      </c>
      <c r="D377" s="157">
        <v>0.35</v>
      </c>
      <c r="E377" s="28">
        <f t="shared" si="15"/>
        <v>28.6</v>
      </c>
      <c r="F377" s="29">
        <v>2</v>
      </c>
      <c r="G377" s="30" t="s">
        <v>14</v>
      </c>
      <c r="H377" s="28">
        <f t="shared" si="16"/>
        <v>88</v>
      </c>
      <c r="I377" s="28">
        <f t="shared" si="17"/>
        <v>57.2</v>
      </c>
      <c r="J377" s="54" t="s">
        <v>406</v>
      </c>
      <c r="K377" s="31">
        <v>45853</v>
      </c>
    </row>
    <row r="378" spans="1:11" x14ac:dyDescent="0.35">
      <c r="A378" s="3">
        <v>377</v>
      </c>
      <c r="B378" s="114" t="s">
        <v>407</v>
      </c>
      <c r="C378" s="111">
        <v>750</v>
      </c>
      <c r="D378" s="171">
        <v>0</v>
      </c>
      <c r="E378" s="111">
        <f t="shared" si="15"/>
        <v>750</v>
      </c>
      <c r="F378" s="112">
        <v>5</v>
      </c>
      <c r="G378" s="113" t="s">
        <v>14</v>
      </c>
      <c r="H378" s="111">
        <f t="shared" si="16"/>
        <v>3750</v>
      </c>
      <c r="I378" s="111">
        <f t="shared" si="17"/>
        <v>3750</v>
      </c>
      <c r="J378" s="114" t="s">
        <v>406</v>
      </c>
      <c r="K378" s="115">
        <v>45874</v>
      </c>
    </row>
    <row r="379" spans="1:11" ht="29" x14ac:dyDescent="0.35">
      <c r="A379" s="3">
        <v>378</v>
      </c>
      <c r="B379" s="110" t="s">
        <v>408</v>
      </c>
      <c r="C379" s="111">
        <v>1377</v>
      </c>
      <c r="D379" s="171">
        <v>0.5</v>
      </c>
      <c r="E379" s="111">
        <f t="shared" si="15"/>
        <v>688.5</v>
      </c>
      <c r="F379" s="112">
        <v>1</v>
      </c>
      <c r="G379" s="113" t="s">
        <v>14</v>
      </c>
      <c r="H379" s="111">
        <f t="shared" si="16"/>
        <v>1377</v>
      </c>
      <c r="I379" s="111">
        <f t="shared" si="17"/>
        <v>688.5</v>
      </c>
      <c r="J379" s="114" t="s">
        <v>406</v>
      </c>
      <c r="K379" s="115">
        <v>45874</v>
      </c>
    </row>
    <row r="380" spans="1:11" ht="29" x14ac:dyDescent="0.35">
      <c r="A380" s="3">
        <v>379</v>
      </c>
      <c r="B380" s="110" t="s">
        <v>409</v>
      </c>
      <c r="C380" s="111">
        <v>20</v>
      </c>
      <c r="D380" s="171">
        <v>0</v>
      </c>
      <c r="E380" s="111">
        <f t="shared" si="15"/>
        <v>20</v>
      </c>
      <c r="F380" s="112">
        <v>24</v>
      </c>
      <c r="G380" s="113" t="s">
        <v>14</v>
      </c>
      <c r="H380" s="111">
        <f t="shared" si="16"/>
        <v>480</v>
      </c>
      <c r="I380" s="111">
        <f t="shared" si="17"/>
        <v>480</v>
      </c>
      <c r="J380" s="114" t="s">
        <v>406</v>
      </c>
      <c r="K380" s="115">
        <v>45874</v>
      </c>
    </row>
    <row r="381" spans="1:11" ht="29" x14ac:dyDescent="0.35">
      <c r="A381" s="3">
        <v>380</v>
      </c>
      <c r="B381" s="60" t="s">
        <v>410</v>
      </c>
      <c r="C381" s="56">
        <v>21.45</v>
      </c>
      <c r="D381" s="162">
        <v>0.55000000000000004</v>
      </c>
      <c r="E381" s="56">
        <f t="shared" si="15"/>
        <v>9.6524999999999981</v>
      </c>
      <c r="F381" s="57">
        <v>200</v>
      </c>
      <c r="G381" s="58" t="s">
        <v>13</v>
      </c>
      <c r="H381" s="56">
        <f t="shared" si="16"/>
        <v>4290</v>
      </c>
      <c r="I381" s="56">
        <f t="shared" si="17"/>
        <v>1930.4999999999995</v>
      </c>
      <c r="J381" s="55" t="s">
        <v>406</v>
      </c>
      <c r="K381" s="59">
        <v>45891</v>
      </c>
    </row>
    <row r="382" spans="1:11" ht="29" x14ac:dyDescent="0.35">
      <c r="A382" s="3">
        <v>381</v>
      </c>
      <c r="B382" s="60" t="s">
        <v>411</v>
      </c>
      <c r="C382" s="56">
        <v>21.45</v>
      </c>
      <c r="D382" s="162">
        <v>0.55000000000000004</v>
      </c>
      <c r="E382" s="56">
        <f t="shared" si="15"/>
        <v>9.6524999999999981</v>
      </c>
      <c r="F382" s="57">
        <v>200</v>
      </c>
      <c r="G382" s="58" t="s">
        <v>13</v>
      </c>
      <c r="H382" s="56">
        <f t="shared" si="16"/>
        <v>4290</v>
      </c>
      <c r="I382" s="56">
        <f t="shared" si="17"/>
        <v>1930.4999999999995</v>
      </c>
      <c r="J382" s="55" t="s">
        <v>406</v>
      </c>
      <c r="K382" s="59">
        <v>45891</v>
      </c>
    </row>
    <row r="383" spans="1:11" ht="29" x14ac:dyDescent="0.35">
      <c r="A383" s="3">
        <v>382</v>
      </c>
      <c r="B383" s="60" t="s">
        <v>412</v>
      </c>
      <c r="C383" s="56">
        <v>13.2</v>
      </c>
      <c r="D383" s="162">
        <v>0.55000000000000004</v>
      </c>
      <c r="E383" s="56">
        <f t="shared" si="15"/>
        <v>5.9399999999999995</v>
      </c>
      <c r="F383" s="57">
        <v>200</v>
      </c>
      <c r="G383" s="58" t="s">
        <v>13</v>
      </c>
      <c r="H383" s="56">
        <f t="shared" si="16"/>
        <v>2640</v>
      </c>
      <c r="I383" s="56">
        <f t="shared" si="17"/>
        <v>1188</v>
      </c>
      <c r="J383" s="55" t="s">
        <v>406</v>
      </c>
      <c r="K383" s="59">
        <v>45891</v>
      </c>
    </row>
    <row r="384" spans="1:11" ht="29" x14ac:dyDescent="0.35">
      <c r="A384" s="3">
        <v>383</v>
      </c>
      <c r="B384" s="60" t="s">
        <v>413</v>
      </c>
      <c r="C384" s="56">
        <v>40.479999999999997</v>
      </c>
      <c r="D384" s="162">
        <v>0.55000000000000004</v>
      </c>
      <c r="E384" s="56">
        <f t="shared" si="15"/>
        <v>18.215999999999998</v>
      </c>
      <c r="F384" s="57">
        <v>200</v>
      </c>
      <c r="G384" s="58" t="s">
        <v>13</v>
      </c>
      <c r="H384" s="56">
        <f t="shared" si="16"/>
        <v>8095.9999999999991</v>
      </c>
      <c r="I384" s="56">
        <f t="shared" si="17"/>
        <v>3643.1999999999994</v>
      </c>
      <c r="J384" s="55" t="s">
        <v>406</v>
      </c>
      <c r="K384" s="59">
        <v>45891</v>
      </c>
    </row>
    <row r="385" spans="1:11" x14ac:dyDescent="0.35">
      <c r="A385" s="3">
        <v>384</v>
      </c>
      <c r="B385" s="55" t="s">
        <v>414</v>
      </c>
      <c r="C385" s="56">
        <v>16.190000000000001</v>
      </c>
      <c r="D385" s="162">
        <v>0.6</v>
      </c>
      <c r="E385" s="56">
        <f t="shared" si="15"/>
        <v>6.4760000000000009</v>
      </c>
      <c r="F385" s="57">
        <v>200</v>
      </c>
      <c r="G385" s="58" t="s">
        <v>13</v>
      </c>
      <c r="H385" s="56">
        <f t="shared" si="16"/>
        <v>3238.0000000000005</v>
      </c>
      <c r="I385" s="56">
        <f t="shared" si="17"/>
        <v>1295.2000000000003</v>
      </c>
      <c r="J385" s="55" t="s">
        <v>406</v>
      </c>
      <c r="K385" s="59">
        <v>45891</v>
      </c>
    </row>
    <row r="386" spans="1:11" x14ac:dyDescent="0.35">
      <c r="A386" s="3">
        <v>385</v>
      </c>
      <c r="B386" s="55" t="s">
        <v>415</v>
      </c>
      <c r="C386" s="56">
        <v>2.8</v>
      </c>
      <c r="D386" s="162">
        <v>0.2</v>
      </c>
      <c r="E386" s="56">
        <f t="shared" si="15"/>
        <v>2.2399999999999998</v>
      </c>
      <c r="F386" s="57">
        <v>200</v>
      </c>
      <c r="G386" s="58" t="s">
        <v>13</v>
      </c>
      <c r="H386" s="56">
        <f t="shared" si="16"/>
        <v>560</v>
      </c>
      <c r="I386" s="56">
        <f t="shared" si="17"/>
        <v>447.99999999999994</v>
      </c>
      <c r="J386" s="55" t="s">
        <v>406</v>
      </c>
      <c r="K386" s="59">
        <v>45891</v>
      </c>
    </row>
    <row r="387" spans="1:11" x14ac:dyDescent="0.35">
      <c r="A387" s="3">
        <v>386</v>
      </c>
      <c r="B387" s="55" t="s">
        <v>416</v>
      </c>
      <c r="C387" s="56">
        <v>3.8</v>
      </c>
      <c r="D387" s="162">
        <v>0.2</v>
      </c>
      <c r="E387" s="56">
        <f t="shared" ref="E387:E450" si="18">C387*(1-D387)</f>
        <v>3.04</v>
      </c>
      <c r="F387" s="57">
        <v>200</v>
      </c>
      <c r="G387" s="58" t="s">
        <v>13</v>
      </c>
      <c r="H387" s="56">
        <f t="shared" ref="H387:H450" si="19">C387*F387</f>
        <v>760</v>
      </c>
      <c r="I387" s="56">
        <f t="shared" ref="I387:I450" si="20">E387*F387</f>
        <v>608</v>
      </c>
      <c r="J387" s="55" t="s">
        <v>406</v>
      </c>
      <c r="K387" s="59">
        <v>45891</v>
      </c>
    </row>
    <row r="388" spans="1:11" x14ac:dyDescent="0.35">
      <c r="A388" s="3">
        <v>387</v>
      </c>
      <c r="B388" s="84" t="s">
        <v>417</v>
      </c>
      <c r="C388" s="81">
        <v>5786</v>
      </c>
      <c r="D388" s="166">
        <v>0.55000000000000004</v>
      </c>
      <c r="E388" s="81">
        <f t="shared" si="18"/>
        <v>2603.6999999999998</v>
      </c>
      <c r="F388" s="82">
        <v>1</v>
      </c>
      <c r="G388" s="83" t="s">
        <v>14</v>
      </c>
      <c r="H388" s="81">
        <f t="shared" si="19"/>
        <v>5786</v>
      </c>
      <c r="I388" s="81">
        <f t="shared" si="20"/>
        <v>2603.6999999999998</v>
      </c>
      <c r="J388" s="84" t="s">
        <v>406</v>
      </c>
      <c r="K388" s="85">
        <v>45903</v>
      </c>
    </row>
    <row r="389" spans="1:11" ht="29" x14ac:dyDescent="0.35">
      <c r="A389" s="3">
        <v>388</v>
      </c>
      <c r="B389" s="80" t="s">
        <v>418</v>
      </c>
      <c r="C389" s="81">
        <v>133</v>
      </c>
      <c r="D389" s="166">
        <v>0.5</v>
      </c>
      <c r="E389" s="81">
        <f t="shared" si="18"/>
        <v>66.5</v>
      </c>
      <c r="F389" s="82">
        <v>2</v>
      </c>
      <c r="G389" s="83" t="s">
        <v>14</v>
      </c>
      <c r="H389" s="81">
        <f t="shared" si="19"/>
        <v>266</v>
      </c>
      <c r="I389" s="81">
        <f t="shared" si="20"/>
        <v>133</v>
      </c>
      <c r="J389" s="84" t="s">
        <v>406</v>
      </c>
      <c r="K389" s="85">
        <v>45903</v>
      </c>
    </row>
    <row r="390" spans="1:11" ht="29" x14ac:dyDescent="0.35">
      <c r="A390" s="3">
        <v>389</v>
      </c>
      <c r="B390" s="80" t="s">
        <v>420</v>
      </c>
      <c r="C390" s="81">
        <v>270</v>
      </c>
      <c r="D390" s="166">
        <v>0.5</v>
      </c>
      <c r="E390" s="81">
        <f t="shared" si="18"/>
        <v>135</v>
      </c>
      <c r="F390" s="82">
        <v>3</v>
      </c>
      <c r="G390" s="83" t="s">
        <v>14</v>
      </c>
      <c r="H390" s="81">
        <f t="shared" si="19"/>
        <v>810</v>
      </c>
      <c r="I390" s="81">
        <f t="shared" si="20"/>
        <v>405</v>
      </c>
      <c r="J390" s="84" t="s">
        <v>406</v>
      </c>
      <c r="K390" s="85">
        <v>45903</v>
      </c>
    </row>
    <row r="391" spans="1:11" ht="29" x14ac:dyDescent="0.35">
      <c r="A391" s="3">
        <v>390</v>
      </c>
      <c r="B391" s="80" t="s">
        <v>419</v>
      </c>
      <c r="C391" s="81">
        <v>226</v>
      </c>
      <c r="D391" s="166">
        <v>0.42</v>
      </c>
      <c r="E391" s="81">
        <f t="shared" si="18"/>
        <v>131.08000000000001</v>
      </c>
      <c r="F391" s="82">
        <v>1</v>
      </c>
      <c r="G391" s="83" t="s">
        <v>14</v>
      </c>
      <c r="H391" s="81">
        <f t="shared" si="19"/>
        <v>226</v>
      </c>
      <c r="I391" s="81">
        <f t="shared" si="20"/>
        <v>131.08000000000001</v>
      </c>
      <c r="J391" s="84" t="s">
        <v>406</v>
      </c>
      <c r="K391" s="85">
        <v>45903</v>
      </c>
    </row>
    <row r="392" spans="1:11" ht="29" x14ac:dyDescent="0.35">
      <c r="A392" s="3">
        <v>391</v>
      </c>
      <c r="B392" s="80" t="s">
        <v>393</v>
      </c>
      <c r="C392" s="81">
        <v>30</v>
      </c>
      <c r="D392" s="166">
        <v>0</v>
      </c>
      <c r="E392" s="81">
        <f t="shared" si="18"/>
        <v>30</v>
      </c>
      <c r="F392" s="82">
        <v>1</v>
      </c>
      <c r="G392" s="83" t="s">
        <v>14</v>
      </c>
      <c r="H392" s="81">
        <f t="shared" si="19"/>
        <v>30</v>
      </c>
      <c r="I392" s="81">
        <f t="shared" si="20"/>
        <v>30</v>
      </c>
      <c r="J392" s="84" t="s">
        <v>406</v>
      </c>
      <c r="K392" s="85">
        <v>45903</v>
      </c>
    </row>
    <row r="393" spans="1:11" ht="29" x14ac:dyDescent="0.35">
      <c r="A393" s="3">
        <v>392</v>
      </c>
      <c r="B393" s="80" t="s">
        <v>409</v>
      </c>
      <c r="C393" s="81">
        <v>20</v>
      </c>
      <c r="D393" s="166">
        <v>0</v>
      </c>
      <c r="E393" s="81">
        <f t="shared" si="18"/>
        <v>20</v>
      </c>
      <c r="F393" s="82">
        <v>8</v>
      </c>
      <c r="G393" s="83" t="s">
        <v>14</v>
      </c>
      <c r="H393" s="81">
        <f t="shared" si="19"/>
        <v>160</v>
      </c>
      <c r="I393" s="81">
        <f t="shared" si="20"/>
        <v>160</v>
      </c>
      <c r="J393" s="84" t="s">
        <v>406</v>
      </c>
      <c r="K393" s="85">
        <v>45903</v>
      </c>
    </row>
    <row r="394" spans="1:11" ht="58" x14ac:dyDescent="0.35">
      <c r="A394" s="3">
        <v>393</v>
      </c>
      <c r="B394" s="80" t="s">
        <v>421</v>
      </c>
      <c r="C394" s="81">
        <v>1890</v>
      </c>
      <c r="D394" s="166">
        <v>0.45</v>
      </c>
      <c r="E394" s="81">
        <f t="shared" si="18"/>
        <v>1039.5</v>
      </c>
      <c r="F394" s="82">
        <v>3</v>
      </c>
      <c r="G394" s="83" t="s">
        <v>14</v>
      </c>
      <c r="H394" s="81">
        <f t="shared" si="19"/>
        <v>5670</v>
      </c>
      <c r="I394" s="81">
        <f t="shared" si="20"/>
        <v>3118.5</v>
      </c>
      <c r="J394" s="84" t="s">
        <v>406</v>
      </c>
      <c r="K394" s="85">
        <v>45903</v>
      </c>
    </row>
    <row r="395" spans="1:11" x14ac:dyDescent="0.35">
      <c r="A395" s="3">
        <v>394</v>
      </c>
      <c r="B395" s="96" t="s">
        <v>422</v>
      </c>
      <c r="C395" s="93">
        <v>3949</v>
      </c>
      <c r="D395" s="168">
        <v>0.55000000000000004</v>
      </c>
      <c r="E395" s="93">
        <f t="shared" si="18"/>
        <v>1777.0499999999997</v>
      </c>
      <c r="F395" s="94">
        <v>1</v>
      </c>
      <c r="G395" s="95" t="s">
        <v>14</v>
      </c>
      <c r="H395" s="93">
        <f t="shared" si="19"/>
        <v>3949</v>
      </c>
      <c r="I395" s="93">
        <f t="shared" si="20"/>
        <v>1777.0499999999997</v>
      </c>
      <c r="J395" s="96" t="s">
        <v>406</v>
      </c>
      <c r="K395" s="97">
        <v>45911</v>
      </c>
    </row>
    <row r="396" spans="1:11" x14ac:dyDescent="0.35">
      <c r="A396" s="3">
        <v>395</v>
      </c>
      <c r="B396" s="96" t="s">
        <v>423</v>
      </c>
      <c r="C396" s="93">
        <v>1536.48</v>
      </c>
      <c r="D396" s="168">
        <v>0.7</v>
      </c>
      <c r="E396" s="93">
        <f t="shared" si="18"/>
        <v>460.94400000000007</v>
      </c>
      <c r="F396" s="94">
        <v>2</v>
      </c>
      <c r="G396" s="95" t="s">
        <v>14</v>
      </c>
      <c r="H396" s="93">
        <f t="shared" si="19"/>
        <v>3072.96</v>
      </c>
      <c r="I396" s="93">
        <f t="shared" si="20"/>
        <v>921.88800000000015</v>
      </c>
      <c r="J396" s="96" t="s">
        <v>406</v>
      </c>
      <c r="K396" s="97">
        <v>45911</v>
      </c>
    </row>
    <row r="397" spans="1:11" ht="29" x14ac:dyDescent="0.35">
      <c r="A397" s="3">
        <v>396</v>
      </c>
      <c r="B397" s="92" t="s">
        <v>424</v>
      </c>
      <c r="C397" s="93">
        <v>970</v>
      </c>
      <c r="D397" s="168">
        <v>0.7</v>
      </c>
      <c r="E397" s="93">
        <f t="shared" si="18"/>
        <v>291.00000000000006</v>
      </c>
      <c r="F397" s="94">
        <v>3</v>
      </c>
      <c r="G397" s="95" t="s">
        <v>14</v>
      </c>
      <c r="H397" s="93">
        <f t="shared" si="19"/>
        <v>2910</v>
      </c>
      <c r="I397" s="93">
        <f t="shared" si="20"/>
        <v>873.00000000000023</v>
      </c>
      <c r="J397" s="96" t="s">
        <v>406</v>
      </c>
      <c r="K397" s="97">
        <v>45911</v>
      </c>
    </row>
    <row r="398" spans="1:11" ht="29" x14ac:dyDescent="0.35">
      <c r="A398" s="3">
        <v>397</v>
      </c>
      <c r="B398" s="92" t="s">
        <v>425</v>
      </c>
      <c r="C398" s="93">
        <v>540</v>
      </c>
      <c r="D398" s="168">
        <v>0.5</v>
      </c>
      <c r="E398" s="93">
        <f t="shared" si="18"/>
        <v>270</v>
      </c>
      <c r="F398" s="94">
        <v>1</v>
      </c>
      <c r="G398" s="95" t="s">
        <v>14</v>
      </c>
      <c r="H398" s="93">
        <f t="shared" si="19"/>
        <v>540</v>
      </c>
      <c r="I398" s="93">
        <f t="shared" si="20"/>
        <v>270</v>
      </c>
      <c r="J398" s="96" t="s">
        <v>406</v>
      </c>
      <c r="K398" s="97">
        <v>45911</v>
      </c>
    </row>
    <row r="399" spans="1:11" ht="29" x14ac:dyDescent="0.35">
      <c r="A399" s="3">
        <v>398</v>
      </c>
      <c r="B399" s="92" t="s">
        <v>426</v>
      </c>
      <c r="C399" s="93">
        <v>800</v>
      </c>
      <c r="D399" s="168">
        <v>0.5</v>
      </c>
      <c r="E399" s="93">
        <f t="shared" si="18"/>
        <v>400</v>
      </c>
      <c r="F399" s="94">
        <v>1</v>
      </c>
      <c r="G399" s="95" t="s">
        <v>14</v>
      </c>
      <c r="H399" s="93">
        <f t="shared" si="19"/>
        <v>800</v>
      </c>
      <c r="I399" s="93">
        <f t="shared" si="20"/>
        <v>400</v>
      </c>
      <c r="J399" s="96" t="s">
        <v>406</v>
      </c>
      <c r="K399" s="97">
        <v>45911</v>
      </c>
    </row>
    <row r="400" spans="1:11" ht="29" x14ac:dyDescent="0.35">
      <c r="A400" s="3">
        <v>399</v>
      </c>
      <c r="B400" s="92" t="s">
        <v>427</v>
      </c>
      <c r="C400" s="93">
        <v>1040</v>
      </c>
      <c r="D400" s="168">
        <v>0.5</v>
      </c>
      <c r="E400" s="93">
        <f t="shared" si="18"/>
        <v>520</v>
      </c>
      <c r="F400" s="94">
        <v>2</v>
      </c>
      <c r="G400" s="95" t="s">
        <v>14</v>
      </c>
      <c r="H400" s="93">
        <f t="shared" si="19"/>
        <v>2080</v>
      </c>
      <c r="I400" s="93">
        <f t="shared" si="20"/>
        <v>1040</v>
      </c>
      <c r="J400" s="96" t="s">
        <v>406</v>
      </c>
      <c r="K400" s="97">
        <v>45911</v>
      </c>
    </row>
    <row r="401" spans="1:11" ht="29" x14ac:dyDescent="0.35">
      <c r="A401" s="3">
        <v>400</v>
      </c>
      <c r="B401" s="92" t="s">
        <v>428</v>
      </c>
      <c r="C401" s="93">
        <v>778</v>
      </c>
      <c r="D401" s="168">
        <v>0.42</v>
      </c>
      <c r="E401" s="93">
        <f t="shared" si="18"/>
        <v>451.24000000000007</v>
      </c>
      <c r="F401" s="94">
        <v>1</v>
      </c>
      <c r="G401" s="95" t="s">
        <v>14</v>
      </c>
      <c r="H401" s="93">
        <f t="shared" si="19"/>
        <v>778</v>
      </c>
      <c r="I401" s="93">
        <f t="shared" si="20"/>
        <v>451.24000000000007</v>
      </c>
      <c r="J401" s="96" t="s">
        <v>406</v>
      </c>
      <c r="K401" s="97">
        <v>45911</v>
      </c>
    </row>
    <row r="402" spans="1:11" ht="43.5" x14ac:dyDescent="0.35">
      <c r="A402" s="3">
        <v>401</v>
      </c>
      <c r="B402" s="92" t="s">
        <v>397</v>
      </c>
      <c r="C402" s="93">
        <v>125.62</v>
      </c>
      <c r="D402" s="168">
        <v>0.7</v>
      </c>
      <c r="E402" s="93">
        <f t="shared" si="18"/>
        <v>37.686000000000007</v>
      </c>
      <c r="F402" s="94">
        <v>3</v>
      </c>
      <c r="G402" s="95" t="s">
        <v>14</v>
      </c>
      <c r="H402" s="93">
        <f t="shared" si="19"/>
        <v>376.86</v>
      </c>
      <c r="I402" s="93">
        <f t="shared" si="20"/>
        <v>113.05800000000002</v>
      </c>
      <c r="J402" s="96" t="s">
        <v>406</v>
      </c>
      <c r="K402" s="97">
        <v>45911</v>
      </c>
    </row>
    <row r="403" spans="1:11" ht="29" x14ac:dyDescent="0.35">
      <c r="A403" s="3">
        <v>402</v>
      </c>
      <c r="B403" s="92" t="s">
        <v>429</v>
      </c>
      <c r="C403" s="93">
        <v>279</v>
      </c>
      <c r="D403" s="168">
        <v>0.42</v>
      </c>
      <c r="E403" s="93">
        <f t="shared" si="18"/>
        <v>161.82000000000002</v>
      </c>
      <c r="F403" s="94">
        <v>1</v>
      </c>
      <c r="G403" s="95" t="s">
        <v>14</v>
      </c>
      <c r="H403" s="93">
        <f t="shared" si="19"/>
        <v>279</v>
      </c>
      <c r="I403" s="93">
        <f t="shared" si="20"/>
        <v>161.82000000000002</v>
      </c>
      <c r="J403" s="96" t="s">
        <v>406</v>
      </c>
      <c r="K403" s="97">
        <v>45911</v>
      </c>
    </row>
    <row r="404" spans="1:11" x14ac:dyDescent="0.35">
      <c r="A404" s="3">
        <v>403</v>
      </c>
      <c r="B404" s="96" t="s">
        <v>430</v>
      </c>
      <c r="C404" s="93">
        <v>92</v>
      </c>
      <c r="D404" s="168">
        <v>0.42</v>
      </c>
      <c r="E404" s="93">
        <f t="shared" si="18"/>
        <v>53.360000000000007</v>
      </c>
      <c r="F404" s="94">
        <v>1</v>
      </c>
      <c r="G404" s="95" t="s">
        <v>14</v>
      </c>
      <c r="H404" s="93">
        <f t="shared" si="19"/>
        <v>92</v>
      </c>
      <c r="I404" s="93">
        <f t="shared" si="20"/>
        <v>53.360000000000007</v>
      </c>
      <c r="J404" s="96" t="s">
        <v>406</v>
      </c>
      <c r="K404" s="97">
        <v>45911</v>
      </c>
    </row>
    <row r="405" spans="1:11" x14ac:dyDescent="0.35">
      <c r="A405" s="3">
        <v>404</v>
      </c>
      <c r="B405" s="96" t="s">
        <v>431</v>
      </c>
      <c r="C405" s="93">
        <v>30</v>
      </c>
      <c r="D405" s="168">
        <v>0</v>
      </c>
      <c r="E405" s="93">
        <f t="shared" si="18"/>
        <v>30</v>
      </c>
      <c r="F405" s="94">
        <v>1</v>
      </c>
      <c r="G405" s="95" t="s">
        <v>14</v>
      </c>
      <c r="H405" s="93">
        <f t="shared" si="19"/>
        <v>30</v>
      </c>
      <c r="I405" s="93">
        <f t="shared" si="20"/>
        <v>30</v>
      </c>
      <c r="J405" s="96" t="s">
        <v>406</v>
      </c>
      <c r="K405" s="97">
        <v>45911</v>
      </c>
    </row>
    <row r="406" spans="1:11" ht="29" x14ac:dyDescent="0.35">
      <c r="A406" s="3">
        <v>405</v>
      </c>
      <c r="B406" s="92" t="s">
        <v>432</v>
      </c>
      <c r="C406" s="93">
        <v>1500</v>
      </c>
      <c r="D406" s="168">
        <v>0</v>
      </c>
      <c r="E406" s="93">
        <f>C406*(1-D406)</f>
        <v>1500</v>
      </c>
      <c r="F406" s="94">
        <v>1</v>
      </c>
      <c r="G406" s="95" t="s">
        <v>14</v>
      </c>
      <c r="H406" s="93">
        <f t="shared" si="19"/>
        <v>1500</v>
      </c>
      <c r="I406" s="93">
        <f t="shared" si="20"/>
        <v>1500</v>
      </c>
      <c r="J406" s="96" t="s">
        <v>406</v>
      </c>
      <c r="K406" s="97">
        <v>45911</v>
      </c>
    </row>
    <row r="407" spans="1:11" x14ac:dyDescent="0.35">
      <c r="A407" s="3">
        <v>406</v>
      </c>
      <c r="B407" s="66" t="s">
        <v>433</v>
      </c>
      <c r="C407" s="63">
        <v>3633.14</v>
      </c>
      <c r="D407" s="163">
        <v>0.7</v>
      </c>
      <c r="E407" s="63">
        <f t="shared" si="18"/>
        <v>1089.9420000000002</v>
      </c>
      <c r="F407" s="64">
        <v>2</v>
      </c>
      <c r="G407" s="65" t="s">
        <v>14</v>
      </c>
      <c r="H407" s="63">
        <f t="shared" si="19"/>
        <v>7266.28</v>
      </c>
      <c r="I407" s="63">
        <f t="shared" si="20"/>
        <v>2179.8840000000005</v>
      </c>
      <c r="J407" s="66" t="s">
        <v>406</v>
      </c>
      <c r="K407" s="67">
        <v>45912</v>
      </c>
    </row>
    <row r="408" spans="1:11" ht="29" x14ac:dyDescent="0.35">
      <c r="A408" s="3">
        <v>407</v>
      </c>
      <c r="B408" s="62" t="s">
        <v>395</v>
      </c>
      <c r="C408" s="63">
        <v>1154.3</v>
      </c>
      <c r="D408" s="163">
        <v>0.7</v>
      </c>
      <c r="E408" s="63">
        <f t="shared" si="18"/>
        <v>346.29</v>
      </c>
      <c r="F408" s="64">
        <v>3</v>
      </c>
      <c r="G408" s="65" t="s">
        <v>14</v>
      </c>
      <c r="H408" s="63">
        <f t="shared" si="19"/>
        <v>3462.8999999999996</v>
      </c>
      <c r="I408" s="63">
        <f t="shared" si="20"/>
        <v>1038.8700000000001</v>
      </c>
      <c r="J408" s="66" t="s">
        <v>406</v>
      </c>
      <c r="K408" s="67">
        <v>45912</v>
      </c>
    </row>
    <row r="409" spans="1:11" ht="29" x14ac:dyDescent="0.35">
      <c r="A409" s="3">
        <v>408</v>
      </c>
      <c r="B409" s="62" t="s">
        <v>434</v>
      </c>
      <c r="C409" s="63">
        <v>1246.45</v>
      </c>
      <c r="D409" s="163">
        <v>0.7</v>
      </c>
      <c r="E409" s="63">
        <f t="shared" si="18"/>
        <v>373.93500000000006</v>
      </c>
      <c r="F409" s="64">
        <v>3</v>
      </c>
      <c r="G409" s="65" t="s">
        <v>14</v>
      </c>
      <c r="H409" s="63">
        <f t="shared" si="19"/>
        <v>3739.3500000000004</v>
      </c>
      <c r="I409" s="63">
        <f t="shared" si="20"/>
        <v>1121.8050000000003</v>
      </c>
      <c r="J409" s="66" t="s">
        <v>406</v>
      </c>
      <c r="K409" s="67">
        <v>45912</v>
      </c>
    </row>
    <row r="410" spans="1:11" ht="29" x14ac:dyDescent="0.35">
      <c r="A410" s="3">
        <v>409</v>
      </c>
      <c r="B410" s="62" t="s">
        <v>435</v>
      </c>
      <c r="C410" s="63">
        <v>1042.75</v>
      </c>
      <c r="D410" s="163">
        <v>0.7</v>
      </c>
      <c r="E410" s="63">
        <f t="shared" si="18"/>
        <v>312.82500000000005</v>
      </c>
      <c r="F410" s="64">
        <v>3</v>
      </c>
      <c r="G410" s="65" t="s">
        <v>14</v>
      </c>
      <c r="H410" s="63">
        <f t="shared" si="19"/>
        <v>3128.25</v>
      </c>
      <c r="I410" s="63">
        <f t="shared" si="20"/>
        <v>938.47500000000014</v>
      </c>
      <c r="J410" s="66" t="s">
        <v>406</v>
      </c>
      <c r="K410" s="67">
        <v>45912</v>
      </c>
    </row>
    <row r="411" spans="1:11" x14ac:dyDescent="0.35">
      <c r="A411" s="3">
        <v>410</v>
      </c>
      <c r="B411" s="72" t="s">
        <v>415</v>
      </c>
      <c r="C411" s="69">
        <v>2.8</v>
      </c>
      <c r="D411" s="164">
        <v>0.2</v>
      </c>
      <c r="E411" s="69">
        <f t="shared" si="18"/>
        <v>2.2399999999999998</v>
      </c>
      <c r="F411" s="70">
        <v>100</v>
      </c>
      <c r="G411" s="71" t="s">
        <v>13</v>
      </c>
      <c r="H411" s="69">
        <f t="shared" si="19"/>
        <v>280</v>
      </c>
      <c r="I411" s="69">
        <f t="shared" si="20"/>
        <v>223.99999999999997</v>
      </c>
      <c r="J411" s="72" t="s">
        <v>406</v>
      </c>
      <c r="K411" s="73">
        <v>45912</v>
      </c>
    </row>
    <row r="412" spans="1:11" x14ac:dyDescent="0.35">
      <c r="A412" s="3">
        <v>411</v>
      </c>
      <c r="B412" s="72" t="s">
        <v>436</v>
      </c>
      <c r="C412" s="69">
        <v>2.75</v>
      </c>
      <c r="D412" s="164">
        <v>0</v>
      </c>
      <c r="E412" s="69">
        <f t="shared" si="18"/>
        <v>2.75</v>
      </c>
      <c r="F412" s="70">
        <v>100</v>
      </c>
      <c r="G412" s="71" t="s">
        <v>14</v>
      </c>
      <c r="H412" s="69">
        <f t="shared" si="19"/>
        <v>275</v>
      </c>
      <c r="I412" s="69">
        <f t="shared" si="20"/>
        <v>275</v>
      </c>
      <c r="J412" s="72" t="s">
        <v>406</v>
      </c>
      <c r="K412" s="73">
        <v>45912</v>
      </c>
    </row>
    <row r="413" spans="1:11" x14ac:dyDescent="0.35">
      <c r="A413" s="3">
        <v>412</v>
      </c>
      <c r="B413" s="72" t="s">
        <v>437</v>
      </c>
      <c r="C413" s="69">
        <v>79.2</v>
      </c>
      <c r="D413" s="164">
        <v>0.54</v>
      </c>
      <c r="E413" s="69">
        <f t="shared" si="18"/>
        <v>36.431999999999995</v>
      </c>
      <c r="F413" s="70">
        <v>100</v>
      </c>
      <c r="G413" s="71" t="s">
        <v>13</v>
      </c>
      <c r="H413" s="69">
        <f t="shared" si="19"/>
        <v>7920</v>
      </c>
      <c r="I413" s="69">
        <f t="shared" si="20"/>
        <v>3643.1999999999994</v>
      </c>
      <c r="J413" s="72" t="s">
        <v>406</v>
      </c>
      <c r="K413" s="73">
        <v>45912</v>
      </c>
    </row>
    <row r="414" spans="1:11" x14ac:dyDescent="0.35">
      <c r="A414" s="3">
        <v>413</v>
      </c>
      <c r="B414" s="72" t="s">
        <v>438</v>
      </c>
      <c r="C414" s="69">
        <v>37.700000000000003</v>
      </c>
      <c r="D414" s="164">
        <v>0.54</v>
      </c>
      <c r="E414" s="69">
        <f t="shared" si="18"/>
        <v>17.341999999999999</v>
      </c>
      <c r="F414" s="70">
        <v>100</v>
      </c>
      <c r="G414" s="71" t="s">
        <v>13</v>
      </c>
      <c r="H414" s="69">
        <f t="shared" si="19"/>
        <v>3770.0000000000005</v>
      </c>
      <c r="I414" s="69">
        <f t="shared" si="20"/>
        <v>1734.1999999999998</v>
      </c>
      <c r="J414" s="72" t="s">
        <v>406</v>
      </c>
      <c r="K414" s="73">
        <v>45912</v>
      </c>
    </row>
    <row r="415" spans="1:11" ht="29" x14ac:dyDescent="0.35">
      <c r="A415" s="3">
        <v>414</v>
      </c>
      <c r="B415" s="68" t="s">
        <v>439</v>
      </c>
      <c r="C415" s="69">
        <v>21.45</v>
      </c>
      <c r="D415" s="164">
        <v>0.52</v>
      </c>
      <c r="E415" s="69">
        <f t="shared" si="18"/>
        <v>10.295999999999999</v>
      </c>
      <c r="F415" s="70">
        <v>200</v>
      </c>
      <c r="G415" s="71" t="s">
        <v>13</v>
      </c>
      <c r="H415" s="69">
        <f t="shared" si="19"/>
        <v>4290</v>
      </c>
      <c r="I415" s="69">
        <f t="shared" si="20"/>
        <v>2059.1999999999998</v>
      </c>
      <c r="J415" s="72" t="s">
        <v>406</v>
      </c>
      <c r="K415" s="73">
        <v>45912</v>
      </c>
    </row>
    <row r="416" spans="1:11" ht="29" x14ac:dyDescent="0.35">
      <c r="A416" s="3">
        <v>415</v>
      </c>
      <c r="B416" s="68" t="s">
        <v>410</v>
      </c>
      <c r="C416" s="69">
        <v>21.45</v>
      </c>
      <c r="D416" s="164">
        <v>0.52</v>
      </c>
      <c r="E416" s="69">
        <f t="shared" si="18"/>
        <v>10.295999999999999</v>
      </c>
      <c r="F416" s="70">
        <v>200</v>
      </c>
      <c r="G416" s="71" t="s">
        <v>13</v>
      </c>
      <c r="H416" s="69">
        <f t="shared" si="19"/>
        <v>4290</v>
      </c>
      <c r="I416" s="69">
        <f t="shared" si="20"/>
        <v>2059.1999999999998</v>
      </c>
      <c r="J416" s="72" t="s">
        <v>406</v>
      </c>
      <c r="K416" s="73">
        <v>45912</v>
      </c>
    </row>
    <row r="417" spans="1:11" ht="29" x14ac:dyDescent="0.35">
      <c r="A417" s="3">
        <v>416</v>
      </c>
      <c r="B417" s="68" t="s">
        <v>440</v>
      </c>
      <c r="C417" s="69">
        <v>21.45</v>
      </c>
      <c r="D417" s="164">
        <v>0.52</v>
      </c>
      <c r="E417" s="69">
        <f t="shared" si="18"/>
        <v>10.295999999999999</v>
      </c>
      <c r="F417" s="70">
        <v>200</v>
      </c>
      <c r="G417" s="71" t="s">
        <v>13</v>
      </c>
      <c r="H417" s="69">
        <f t="shared" si="19"/>
        <v>4290</v>
      </c>
      <c r="I417" s="69">
        <f t="shared" si="20"/>
        <v>2059.1999999999998</v>
      </c>
      <c r="J417" s="72" t="s">
        <v>406</v>
      </c>
      <c r="K417" s="73">
        <v>45912</v>
      </c>
    </row>
    <row r="418" spans="1:11" ht="29" x14ac:dyDescent="0.35">
      <c r="A418" s="3">
        <v>417</v>
      </c>
      <c r="B418" s="68" t="s">
        <v>413</v>
      </c>
      <c r="C418" s="69">
        <v>13.2</v>
      </c>
      <c r="D418" s="164">
        <v>0.52</v>
      </c>
      <c r="E418" s="69">
        <f t="shared" si="18"/>
        <v>6.3359999999999994</v>
      </c>
      <c r="F418" s="70">
        <v>200</v>
      </c>
      <c r="G418" s="71" t="s">
        <v>13</v>
      </c>
      <c r="H418" s="69">
        <f t="shared" si="19"/>
        <v>2640</v>
      </c>
      <c r="I418" s="69">
        <f t="shared" si="20"/>
        <v>1267.1999999999998</v>
      </c>
      <c r="J418" s="72" t="s">
        <v>406</v>
      </c>
      <c r="K418" s="73">
        <v>45912</v>
      </c>
    </row>
    <row r="419" spans="1:11" ht="29" x14ac:dyDescent="0.35">
      <c r="A419" s="3">
        <v>418</v>
      </c>
      <c r="B419" s="68" t="s">
        <v>441</v>
      </c>
      <c r="C419" s="69">
        <v>13.2</v>
      </c>
      <c r="D419" s="164">
        <v>0.52</v>
      </c>
      <c r="E419" s="69">
        <f t="shared" si="18"/>
        <v>6.3359999999999994</v>
      </c>
      <c r="F419" s="70">
        <v>200</v>
      </c>
      <c r="G419" s="71" t="s">
        <v>13</v>
      </c>
      <c r="H419" s="69">
        <f t="shared" si="19"/>
        <v>2640</v>
      </c>
      <c r="I419" s="69">
        <f t="shared" si="20"/>
        <v>1267.1999999999998</v>
      </c>
      <c r="J419" s="72" t="s">
        <v>406</v>
      </c>
      <c r="K419" s="73">
        <v>45912</v>
      </c>
    </row>
    <row r="420" spans="1:11" ht="29" x14ac:dyDescent="0.35">
      <c r="A420" s="3">
        <v>419</v>
      </c>
      <c r="B420" s="68" t="s">
        <v>442</v>
      </c>
      <c r="C420" s="69">
        <v>8.25</v>
      </c>
      <c r="D420" s="164">
        <v>0.52</v>
      </c>
      <c r="E420" s="69">
        <f t="shared" si="18"/>
        <v>3.96</v>
      </c>
      <c r="F420" s="70">
        <v>100</v>
      </c>
      <c r="G420" s="71" t="s">
        <v>13</v>
      </c>
      <c r="H420" s="69">
        <f t="shared" si="19"/>
        <v>825</v>
      </c>
      <c r="I420" s="69">
        <f t="shared" si="20"/>
        <v>396</v>
      </c>
      <c r="J420" s="72" t="s">
        <v>406</v>
      </c>
      <c r="K420" s="73">
        <v>45912</v>
      </c>
    </row>
    <row r="421" spans="1:11" x14ac:dyDescent="0.35">
      <c r="A421" s="3">
        <v>420</v>
      </c>
      <c r="B421" s="72" t="s">
        <v>443</v>
      </c>
      <c r="C421" s="69">
        <v>3</v>
      </c>
      <c r="D421" s="164">
        <v>0</v>
      </c>
      <c r="E421" s="69">
        <f t="shared" si="18"/>
        <v>3</v>
      </c>
      <c r="F421" s="70">
        <v>20</v>
      </c>
      <c r="G421" s="71" t="s">
        <v>14</v>
      </c>
      <c r="H421" s="69">
        <f t="shared" si="19"/>
        <v>60</v>
      </c>
      <c r="I421" s="69">
        <f t="shared" si="20"/>
        <v>60</v>
      </c>
      <c r="J421" s="72" t="s">
        <v>406</v>
      </c>
      <c r="K421" s="73">
        <v>45912</v>
      </c>
    </row>
    <row r="422" spans="1:11" x14ac:dyDescent="0.35">
      <c r="A422" s="3">
        <v>421</v>
      </c>
      <c r="B422" s="96" t="s">
        <v>437</v>
      </c>
      <c r="C422" s="93">
        <v>79.2</v>
      </c>
      <c r="D422" s="168">
        <v>0.54</v>
      </c>
      <c r="E422" s="93">
        <f t="shared" si="18"/>
        <v>36.431999999999995</v>
      </c>
      <c r="F422" s="94">
        <v>200</v>
      </c>
      <c r="G422" s="95" t="s">
        <v>13</v>
      </c>
      <c r="H422" s="93">
        <f t="shared" si="19"/>
        <v>15840</v>
      </c>
      <c r="I422" s="93">
        <f t="shared" si="20"/>
        <v>7286.3999999999987</v>
      </c>
      <c r="J422" s="96" t="s">
        <v>406</v>
      </c>
      <c r="K422" s="97">
        <v>45917</v>
      </c>
    </row>
    <row r="423" spans="1:11" x14ac:dyDescent="0.35">
      <c r="A423" s="3">
        <v>422</v>
      </c>
      <c r="B423" s="96" t="s">
        <v>444</v>
      </c>
      <c r="C423" s="93">
        <v>51.7</v>
      </c>
      <c r="D423" s="168">
        <v>0.54</v>
      </c>
      <c r="E423" s="93">
        <f t="shared" si="18"/>
        <v>23.782</v>
      </c>
      <c r="F423" s="94">
        <v>100</v>
      </c>
      <c r="G423" s="95" t="s">
        <v>13</v>
      </c>
      <c r="H423" s="93">
        <f t="shared" si="19"/>
        <v>5170</v>
      </c>
      <c r="I423" s="93">
        <f t="shared" si="20"/>
        <v>2378.1999999999998</v>
      </c>
      <c r="J423" s="96" t="s">
        <v>406</v>
      </c>
      <c r="K423" s="97">
        <v>45917</v>
      </c>
    </row>
    <row r="424" spans="1:11" ht="29" x14ac:dyDescent="0.35">
      <c r="A424" s="3">
        <v>423</v>
      </c>
      <c r="B424" s="92" t="s">
        <v>445</v>
      </c>
      <c r="C424" s="93">
        <v>1303</v>
      </c>
      <c r="D424" s="168">
        <v>0.65</v>
      </c>
      <c r="E424" s="93">
        <f t="shared" si="18"/>
        <v>456.04999999999995</v>
      </c>
      <c r="F424" s="94">
        <v>1</v>
      </c>
      <c r="G424" s="95" t="s">
        <v>14</v>
      </c>
      <c r="H424" s="93">
        <f t="shared" si="19"/>
        <v>1303</v>
      </c>
      <c r="I424" s="93">
        <f t="shared" si="20"/>
        <v>456.04999999999995</v>
      </c>
      <c r="J424" s="96" t="s">
        <v>406</v>
      </c>
      <c r="K424" s="97">
        <v>45917</v>
      </c>
    </row>
    <row r="425" spans="1:11" x14ac:dyDescent="0.35">
      <c r="A425" s="3">
        <v>424</v>
      </c>
      <c r="B425" s="134" t="s">
        <v>446</v>
      </c>
      <c r="C425" s="135">
        <v>6752.2</v>
      </c>
      <c r="D425" s="175">
        <v>0.7</v>
      </c>
      <c r="E425" s="135">
        <f t="shared" si="18"/>
        <v>2025.6600000000003</v>
      </c>
      <c r="F425" s="136">
        <v>1</v>
      </c>
      <c r="G425" s="137" t="s">
        <v>14</v>
      </c>
      <c r="H425" s="135">
        <f t="shared" si="19"/>
        <v>6752.2</v>
      </c>
      <c r="I425" s="135">
        <f t="shared" si="20"/>
        <v>2025.6600000000003</v>
      </c>
      <c r="J425" s="134" t="s">
        <v>406</v>
      </c>
      <c r="K425" s="138">
        <v>45936</v>
      </c>
    </row>
    <row r="426" spans="1:11" ht="29" x14ac:dyDescent="0.35">
      <c r="A426" s="3">
        <v>425</v>
      </c>
      <c r="B426" s="139" t="s">
        <v>396</v>
      </c>
      <c r="C426" s="135">
        <v>1421</v>
      </c>
      <c r="D426" s="175">
        <v>0.7</v>
      </c>
      <c r="E426" s="135">
        <f t="shared" si="18"/>
        <v>426.30000000000007</v>
      </c>
      <c r="F426" s="136">
        <v>2</v>
      </c>
      <c r="G426" s="137" t="s">
        <v>14</v>
      </c>
      <c r="H426" s="135">
        <f t="shared" si="19"/>
        <v>2842</v>
      </c>
      <c r="I426" s="135">
        <f t="shared" si="20"/>
        <v>852.60000000000014</v>
      </c>
      <c r="J426" s="134" t="s">
        <v>406</v>
      </c>
      <c r="K426" s="138">
        <v>45936</v>
      </c>
    </row>
    <row r="427" spans="1:11" ht="29" x14ac:dyDescent="0.35">
      <c r="A427" s="3">
        <v>426</v>
      </c>
      <c r="B427" s="139" t="s">
        <v>447</v>
      </c>
      <c r="C427" s="135">
        <v>1070</v>
      </c>
      <c r="D427" s="175">
        <v>0</v>
      </c>
      <c r="E427" s="135">
        <f t="shared" si="18"/>
        <v>1070</v>
      </c>
      <c r="F427" s="136">
        <v>3</v>
      </c>
      <c r="G427" s="137" t="s">
        <v>14</v>
      </c>
      <c r="H427" s="135">
        <f t="shared" si="19"/>
        <v>3210</v>
      </c>
      <c r="I427" s="135">
        <f t="shared" si="20"/>
        <v>3210</v>
      </c>
      <c r="J427" s="134" t="s">
        <v>406</v>
      </c>
      <c r="K427" s="138">
        <v>45936</v>
      </c>
    </row>
    <row r="428" spans="1:11" ht="29" x14ac:dyDescent="0.35">
      <c r="A428" s="3">
        <v>427</v>
      </c>
      <c r="B428" s="139" t="s">
        <v>448</v>
      </c>
      <c r="C428" s="135">
        <v>837.9</v>
      </c>
      <c r="D428" s="175">
        <v>0.7</v>
      </c>
      <c r="E428" s="135">
        <f t="shared" si="18"/>
        <v>251.37000000000003</v>
      </c>
      <c r="F428" s="136">
        <v>1</v>
      </c>
      <c r="G428" s="137" t="s">
        <v>14</v>
      </c>
      <c r="H428" s="135">
        <f t="shared" si="19"/>
        <v>837.9</v>
      </c>
      <c r="I428" s="135">
        <f t="shared" si="20"/>
        <v>251.37000000000003</v>
      </c>
      <c r="J428" s="134" t="s">
        <v>406</v>
      </c>
      <c r="K428" s="138">
        <v>45936</v>
      </c>
    </row>
    <row r="429" spans="1:11" ht="29" x14ac:dyDescent="0.35">
      <c r="A429" s="3">
        <v>428</v>
      </c>
      <c r="B429" s="139" t="s">
        <v>449</v>
      </c>
      <c r="C429" s="135">
        <v>739.9</v>
      </c>
      <c r="D429" s="175">
        <v>0.7</v>
      </c>
      <c r="E429" s="135">
        <f t="shared" si="18"/>
        <v>221.97000000000003</v>
      </c>
      <c r="F429" s="136">
        <v>2</v>
      </c>
      <c r="G429" s="137" t="s">
        <v>14</v>
      </c>
      <c r="H429" s="135">
        <f t="shared" si="19"/>
        <v>1479.8</v>
      </c>
      <c r="I429" s="135">
        <f t="shared" si="20"/>
        <v>443.94000000000005</v>
      </c>
      <c r="J429" s="134" t="s">
        <v>406</v>
      </c>
      <c r="K429" s="138">
        <v>45936</v>
      </c>
    </row>
    <row r="430" spans="1:11" ht="29" x14ac:dyDescent="0.35">
      <c r="A430" s="3">
        <v>429</v>
      </c>
      <c r="B430" s="139" t="s">
        <v>450</v>
      </c>
      <c r="C430" s="135">
        <v>637</v>
      </c>
      <c r="D430" s="175">
        <v>0.7</v>
      </c>
      <c r="E430" s="135">
        <f t="shared" si="18"/>
        <v>191.10000000000002</v>
      </c>
      <c r="F430" s="136">
        <v>2</v>
      </c>
      <c r="G430" s="137" t="s">
        <v>14</v>
      </c>
      <c r="H430" s="135">
        <f t="shared" si="19"/>
        <v>1274</v>
      </c>
      <c r="I430" s="135">
        <f t="shared" si="20"/>
        <v>382.20000000000005</v>
      </c>
      <c r="J430" s="134" t="s">
        <v>406</v>
      </c>
      <c r="K430" s="138">
        <v>45936</v>
      </c>
    </row>
    <row r="431" spans="1:11" ht="29" x14ac:dyDescent="0.35">
      <c r="A431" s="3">
        <v>430</v>
      </c>
      <c r="B431" s="139" t="s">
        <v>451</v>
      </c>
      <c r="C431" s="135">
        <v>637</v>
      </c>
      <c r="D431" s="175">
        <v>0.7</v>
      </c>
      <c r="E431" s="135">
        <f t="shared" si="18"/>
        <v>191.10000000000002</v>
      </c>
      <c r="F431" s="136">
        <v>3</v>
      </c>
      <c r="G431" s="137" t="s">
        <v>14</v>
      </c>
      <c r="H431" s="135">
        <f t="shared" si="19"/>
        <v>1911</v>
      </c>
      <c r="I431" s="135">
        <f t="shared" si="20"/>
        <v>573.30000000000007</v>
      </c>
      <c r="J431" s="134" t="s">
        <v>406</v>
      </c>
      <c r="K431" s="138">
        <v>45936</v>
      </c>
    </row>
    <row r="432" spans="1:11" ht="29" x14ac:dyDescent="0.35">
      <c r="A432" s="3">
        <v>431</v>
      </c>
      <c r="B432" s="139" t="s">
        <v>452</v>
      </c>
      <c r="C432" s="135">
        <v>177.38</v>
      </c>
      <c r="D432" s="175">
        <v>0.7</v>
      </c>
      <c r="E432" s="135">
        <f t="shared" si="18"/>
        <v>53.214000000000006</v>
      </c>
      <c r="F432" s="136">
        <v>5</v>
      </c>
      <c r="G432" s="137" t="s">
        <v>14</v>
      </c>
      <c r="H432" s="135">
        <f t="shared" si="19"/>
        <v>886.9</v>
      </c>
      <c r="I432" s="135">
        <f t="shared" si="20"/>
        <v>266.07000000000005</v>
      </c>
      <c r="J432" s="134" t="s">
        <v>406</v>
      </c>
      <c r="K432" s="138">
        <v>45936</v>
      </c>
    </row>
    <row r="433" spans="1:11" ht="29" x14ac:dyDescent="0.35">
      <c r="A433" s="3">
        <v>432</v>
      </c>
      <c r="B433" s="139" t="s">
        <v>453</v>
      </c>
      <c r="C433" s="135">
        <v>201.39</v>
      </c>
      <c r="D433" s="175">
        <v>0.7</v>
      </c>
      <c r="E433" s="135">
        <f t="shared" si="18"/>
        <v>60.417000000000002</v>
      </c>
      <c r="F433" s="136">
        <v>4</v>
      </c>
      <c r="G433" s="137" t="s">
        <v>14</v>
      </c>
      <c r="H433" s="135">
        <f t="shared" si="19"/>
        <v>805.56</v>
      </c>
      <c r="I433" s="135">
        <f t="shared" si="20"/>
        <v>241.66800000000001</v>
      </c>
      <c r="J433" s="134" t="s">
        <v>406</v>
      </c>
      <c r="K433" s="138">
        <v>45936</v>
      </c>
    </row>
    <row r="434" spans="1:11" ht="29" x14ac:dyDescent="0.35">
      <c r="A434" s="3">
        <v>433</v>
      </c>
      <c r="B434" s="139" t="s">
        <v>454</v>
      </c>
      <c r="C434" s="135">
        <v>650</v>
      </c>
      <c r="D434" s="175">
        <v>0.55000000000000004</v>
      </c>
      <c r="E434" s="135">
        <f t="shared" si="18"/>
        <v>292.49999999999994</v>
      </c>
      <c r="F434" s="136">
        <v>1</v>
      </c>
      <c r="G434" s="137" t="s">
        <v>14</v>
      </c>
      <c r="H434" s="135">
        <f t="shared" si="19"/>
        <v>650</v>
      </c>
      <c r="I434" s="135">
        <f t="shared" si="20"/>
        <v>292.49999999999994</v>
      </c>
      <c r="J434" s="134" t="s">
        <v>406</v>
      </c>
      <c r="K434" s="138">
        <v>45936</v>
      </c>
    </row>
    <row r="435" spans="1:11" ht="29" x14ac:dyDescent="0.35">
      <c r="A435" s="3">
        <v>434</v>
      </c>
      <c r="B435" s="139" t="s">
        <v>429</v>
      </c>
      <c r="C435" s="135">
        <v>279</v>
      </c>
      <c r="D435" s="175">
        <v>0.43</v>
      </c>
      <c r="E435" s="135">
        <f t="shared" si="18"/>
        <v>159.03000000000003</v>
      </c>
      <c r="F435" s="136">
        <v>1</v>
      </c>
      <c r="G435" s="137" t="s">
        <v>14</v>
      </c>
      <c r="H435" s="135">
        <f t="shared" si="19"/>
        <v>279</v>
      </c>
      <c r="I435" s="135">
        <f t="shared" si="20"/>
        <v>159.03000000000003</v>
      </c>
      <c r="J435" s="134" t="s">
        <v>406</v>
      </c>
      <c r="K435" s="138">
        <v>45936</v>
      </c>
    </row>
    <row r="436" spans="1:11" x14ac:dyDescent="0.35">
      <c r="A436" s="3">
        <v>435</v>
      </c>
      <c r="B436" s="134" t="s">
        <v>430</v>
      </c>
      <c r="C436" s="135">
        <v>92</v>
      </c>
      <c r="D436" s="175">
        <v>0.43</v>
      </c>
      <c r="E436" s="135">
        <f t="shared" si="18"/>
        <v>52.440000000000005</v>
      </c>
      <c r="F436" s="136">
        <v>1</v>
      </c>
      <c r="G436" s="137" t="s">
        <v>14</v>
      </c>
      <c r="H436" s="135">
        <f t="shared" si="19"/>
        <v>92</v>
      </c>
      <c r="I436" s="135">
        <f t="shared" si="20"/>
        <v>52.440000000000005</v>
      </c>
      <c r="J436" s="134" t="s">
        <v>406</v>
      </c>
      <c r="K436" s="138">
        <v>45936</v>
      </c>
    </row>
    <row r="437" spans="1:11" ht="29" x14ac:dyDescent="0.35">
      <c r="A437" s="3">
        <v>436</v>
      </c>
      <c r="B437" s="139" t="s">
        <v>455</v>
      </c>
      <c r="C437" s="135">
        <v>9.5</v>
      </c>
      <c r="D437" s="175">
        <v>0</v>
      </c>
      <c r="E437" s="135">
        <f t="shared" si="18"/>
        <v>9.5</v>
      </c>
      <c r="F437" s="136">
        <v>25</v>
      </c>
      <c r="G437" s="137" t="s">
        <v>13</v>
      </c>
      <c r="H437" s="135">
        <f t="shared" si="19"/>
        <v>237.5</v>
      </c>
      <c r="I437" s="135">
        <f t="shared" si="20"/>
        <v>237.5</v>
      </c>
      <c r="J437" s="134" t="s">
        <v>406</v>
      </c>
      <c r="K437" s="138">
        <v>45936</v>
      </c>
    </row>
    <row r="438" spans="1:11" ht="29" x14ac:dyDescent="0.35">
      <c r="A438" s="3">
        <v>437</v>
      </c>
      <c r="B438" s="86" t="s">
        <v>456</v>
      </c>
      <c r="C438" s="87">
        <v>1768</v>
      </c>
      <c r="D438" s="167">
        <v>0.55000000000000004</v>
      </c>
      <c r="E438" s="87">
        <f t="shared" si="18"/>
        <v>795.59999999999991</v>
      </c>
      <c r="F438" s="88">
        <v>2</v>
      </c>
      <c r="G438" s="89" t="s">
        <v>14</v>
      </c>
      <c r="H438" s="87">
        <f t="shared" si="19"/>
        <v>3536</v>
      </c>
      <c r="I438" s="87">
        <f t="shared" si="20"/>
        <v>1591.1999999999998</v>
      </c>
      <c r="J438" s="90" t="s">
        <v>406</v>
      </c>
      <c r="K438" s="91">
        <v>45945</v>
      </c>
    </row>
    <row r="439" spans="1:11" ht="29" x14ac:dyDescent="0.35">
      <c r="A439" s="3">
        <v>438</v>
      </c>
      <c r="B439" s="86" t="s">
        <v>457</v>
      </c>
      <c r="C439" s="87">
        <v>125.62</v>
      </c>
      <c r="D439" s="167">
        <v>0.7</v>
      </c>
      <c r="E439" s="87">
        <f t="shared" si="18"/>
        <v>37.686000000000007</v>
      </c>
      <c r="F439" s="88">
        <v>9</v>
      </c>
      <c r="G439" s="89" t="s">
        <v>14</v>
      </c>
      <c r="H439" s="87">
        <f t="shared" si="19"/>
        <v>1130.58</v>
      </c>
      <c r="I439" s="87">
        <f t="shared" si="20"/>
        <v>339.17400000000009</v>
      </c>
      <c r="J439" s="90" t="s">
        <v>406</v>
      </c>
      <c r="K439" s="91">
        <v>45945</v>
      </c>
    </row>
    <row r="440" spans="1:11" x14ac:dyDescent="0.35">
      <c r="A440" s="3">
        <v>439</v>
      </c>
      <c r="B440" s="90" t="s">
        <v>458</v>
      </c>
      <c r="C440" s="87">
        <v>2149.04</v>
      </c>
      <c r="D440" s="167">
        <v>0.7</v>
      </c>
      <c r="E440" s="87">
        <f t="shared" si="18"/>
        <v>644.7120000000001</v>
      </c>
      <c r="F440" s="88">
        <v>2</v>
      </c>
      <c r="G440" s="89" t="s">
        <v>14</v>
      </c>
      <c r="H440" s="87">
        <f t="shared" si="19"/>
        <v>4298.08</v>
      </c>
      <c r="I440" s="87">
        <f t="shared" si="20"/>
        <v>1289.4240000000002</v>
      </c>
      <c r="J440" s="90" t="s">
        <v>406</v>
      </c>
      <c r="K440" s="91">
        <v>45945</v>
      </c>
    </row>
    <row r="441" spans="1:11" ht="29" x14ac:dyDescent="0.35">
      <c r="A441" s="3">
        <v>440</v>
      </c>
      <c r="B441" s="92" t="s">
        <v>459</v>
      </c>
      <c r="C441" s="93">
        <v>1.1000000000000001</v>
      </c>
      <c r="D441" s="168">
        <v>0.45</v>
      </c>
      <c r="E441" s="93">
        <f t="shared" si="18"/>
        <v>0.60500000000000009</v>
      </c>
      <c r="F441" s="94">
        <v>250</v>
      </c>
      <c r="G441" s="95" t="s">
        <v>14</v>
      </c>
      <c r="H441" s="93">
        <f t="shared" si="19"/>
        <v>275</v>
      </c>
      <c r="I441" s="93">
        <f t="shared" si="20"/>
        <v>151.25000000000003</v>
      </c>
      <c r="J441" s="96" t="s">
        <v>406</v>
      </c>
      <c r="K441" s="97">
        <v>45964</v>
      </c>
    </row>
    <row r="442" spans="1:11" x14ac:dyDescent="0.35">
      <c r="A442" s="3">
        <v>441</v>
      </c>
      <c r="B442" s="96" t="s">
        <v>460</v>
      </c>
      <c r="C442" s="93">
        <v>1.78</v>
      </c>
      <c r="D442" s="168">
        <v>0.5</v>
      </c>
      <c r="E442" s="93">
        <f t="shared" si="18"/>
        <v>0.89</v>
      </c>
      <c r="F442" s="94">
        <v>50</v>
      </c>
      <c r="G442" s="95" t="s">
        <v>14</v>
      </c>
      <c r="H442" s="93">
        <f t="shared" si="19"/>
        <v>89</v>
      </c>
      <c r="I442" s="93">
        <f t="shared" si="20"/>
        <v>44.5</v>
      </c>
      <c r="J442" s="96" t="s">
        <v>406</v>
      </c>
      <c r="K442" s="97">
        <v>45964</v>
      </c>
    </row>
    <row r="443" spans="1:11" ht="29" x14ac:dyDescent="0.35">
      <c r="A443" s="3">
        <v>442</v>
      </c>
      <c r="B443" s="92" t="s">
        <v>461</v>
      </c>
      <c r="C443" s="93">
        <v>4.13</v>
      </c>
      <c r="D443" s="168">
        <v>0.5</v>
      </c>
      <c r="E443" s="93">
        <f t="shared" si="18"/>
        <v>2.0649999999999999</v>
      </c>
      <c r="F443" s="94">
        <v>50</v>
      </c>
      <c r="G443" s="95" t="s">
        <v>14</v>
      </c>
      <c r="H443" s="93">
        <f t="shared" si="19"/>
        <v>206.5</v>
      </c>
      <c r="I443" s="93">
        <f t="shared" si="20"/>
        <v>103.25</v>
      </c>
      <c r="J443" s="96" t="s">
        <v>406</v>
      </c>
      <c r="K443" s="97">
        <v>45964</v>
      </c>
    </row>
    <row r="444" spans="1:11" ht="29" x14ac:dyDescent="0.35">
      <c r="A444" s="3">
        <v>443</v>
      </c>
      <c r="B444" s="103" t="s">
        <v>462</v>
      </c>
      <c r="C444" s="99">
        <v>388</v>
      </c>
      <c r="D444" s="169">
        <v>0.55000000000000004</v>
      </c>
      <c r="E444" s="99">
        <f t="shared" si="18"/>
        <v>174.6</v>
      </c>
      <c r="F444" s="100">
        <v>1</v>
      </c>
      <c r="G444" s="101" t="s">
        <v>14</v>
      </c>
      <c r="H444" s="99">
        <f t="shared" si="19"/>
        <v>388</v>
      </c>
      <c r="I444" s="99">
        <f t="shared" si="20"/>
        <v>174.6</v>
      </c>
      <c r="J444" s="98" t="s">
        <v>406</v>
      </c>
      <c r="K444" s="102">
        <v>45992</v>
      </c>
    </row>
    <row r="445" spans="1:11" ht="29" x14ac:dyDescent="0.35">
      <c r="A445" s="3">
        <v>444</v>
      </c>
      <c r="B445" s="103" t="s">
        <v>463</v>
      </c>
      <c r="C445" s="99">
        <v>0.44</v>
      </c>
      <c r="D445" s="169">
        <v>0.45</v>
      </c>
      <c r="E445" s="99">
        <f t="shared" si="18"/>
        <v>0.24200000000000002</v>
      </c>
      <c r="F445" s="100">
        <v>1000</v>
      </c>
      <c r="G445" s="101" t="s">
        <v>14</v>
      </c>
      <c r="H445" s="99">
        <f t="shared" si="19"/>
        <v>440</v>
      </c>
      <c r="I445" s="99">
        <f t="shared" si="20"/>
        <v>242.00000000000003</v>
      </c>
      <c r="J445" s="98" t="s">
        <v>406</v>
      </c>
      <c r="K445" s="102">
        <v>45992</v>
      </c>
    </row>
    <row r="446" spans="1:11" x14ac:dyDescent="0.35">
      <c r="A446" s="3">
        <v>445</v>
      </c>
      <c r="B446" s="98" t="s">
        <v>464</v>
      </c>
      <c r="C446" s="99">
        <v>179.5</v>
      </c>
      <c r="D446" s="169">
        <v>0.7</v>
      </c>
      <c r="E446" s="99">
        <f t="shared" si="18"/>
        <v>53.850000000000009</v>
      </c>
      <c r="F446" s="100">
        <v>1</v>
      </c>
      <c r="G446" s="101" t="s">
        <v>14</v>
      </c>
      <c r="H446" s="99">
        <f t="shared" si="19"/>
        <v>179.5</v>
      </c>
      <c r="I446" s="99">
        <f t="shared" si="20"/>
        <v>53.850000000000009</v>
      </c>
      <c r="J446" s="98" t="s">
        <v>406</v>
      </c>
      <c r="K446" s="102">
        <v>45992</v>
      </c>
    </row>
    <row r="447" spans="1:11" x14ac:dyDescent="0.35">
      <c r="A447" s="3">
        <v>446</v>
      </c>
      <c r="B447" s="98" t="s">
        <v>465</v>
      </c>
      <c r="C447" s="99">
        <v>1250</v>
      </c>
      <c r="D447" s="169">
        <v>0.55000000000000004</v>
      </c>
      <c r="E447" s="99">
        <f t="shared" si="18"/>
        <v>562.5</v>
      </c>
      <c r="F447" s="100">
        <v>3</v>
      </c>
      <c r="G447" s="101" t="s">
        <v>14</v>
      </c>
      <c r="H447" s="99">
        <f t="shared" si="19"/>
        <v>3750</v>
      </c>
      <c r="I447" s="99">
        <f t="shared" si="20"/>
        <v>1687.5</v>
      </c>
      <c r="J447" s="98" t="s">
        <v>406</v>
      </c>
      <c r="K447" s="102">
        <v>45992</v>
      </c>
    </row>
    <row r="448" spans="1:11" x14ac:dyDescent="0.35">
      <c r="A448" s="3">
        <v>447</v>
      </c>
      <c r="B448" s="78" t="s">
        <v>466</v>
      </c>
      <c r="C448" s="75">
        <v>1250</v>
      </c>
      <c r="D448" s="165">
        <v>0</v>
      </c>
      <c r="E448" s="75">
        <f t="shared" si="18"/>
        <v>1250</v>
      </c>
      <c r="F448" s="76">
        <v>1</v>
      </c>
      <c r="G448" s="77" t="s">
        <v>14</v>
      </c>
      <c r="H448" s="75">
        <f t="shared" si="19"/>
        <v>1250</v>
      </c>
      <c r="I448" s="75">
        <f t="shared" si="20"/>
        <v>1250</v>
      </c>
      <c r="J448" s="78" t="s">
        <v>468</v>
      </c>
      <c r="K448" s="79">
        <v>45854</v>
      </c>
    </row>
    <row r="449" spans="1:11" x14ac:dyDescent="0.35">
      <c r="A449" s="3">
        <v>448</v>
      </c>
      <c r="B449" s="78" t="s">
        <v>467</v>
      </c>
      <c r="C449" s="75">
        <v>350</v>
      </c>
      <c r="D449" s="165">
        <v>0</v>
      </c>
      <c r="E449" s="75">
        <f t="shared" si="18"/>
        <v>350</v>
      </c>
      <c r="F449" s="76">
        <v>1</v>
      </c>
      <c r="G449" s="77" t="s">
        <v>14</v>
      </c>
      <c r="H449" s="75">
        <f t="shared" si="19"/>
        <v>350</v>
      </c>
      <c r="I449" s="75">
        <f t="shared" si="20"/>
        <v>350</v>
      </c>
      <c r="J449" s="78" t="s">
        <v>468</v>
      </c>
      <c r="K449" s="79">
        <v>45854</v>
      </c>
    </row>
    <row r="450" spans="1:11" x14ac:dyDescent="0.35">
      <c r="A450" s="3">
        <v>449</v>
      </c>
      <c r="B450" s="152" t="s">
        <v>469</v>
      </c>
      <c r="C450" s="45">
        <v>750</v>
      </c>
      <c r="D450" s="160">
        <v>0</v>
      </c>
      <c r="E450" s="45">
        <f t="shared" si="18"/>
        <v>750</v>
      </c>
      <c r="F450" s="46">
        <v>1</v>
      </c>
      <c r="G450" s="47" t="s">
        <v>14</v>
      </c>
      <c r="H450" s="45">
        <f t="shared" si="19"/>
        <v>750</v>
      </c>
      <c r="I450" s="45">
        <f t="shared" si="20"/>
        <v>750</v>
      </c>
      <c r="J450" s="152" t="s">
        <v>468</v>
      </c>
      <c r="K450" s="48">
        <v>45861</v>
      </c>
    </row>
    <row r="451" spans="1:11" x14ac:dyDescent="0.35">
      <c r="A451" s="3">
        <v>450</v>
      </c>
      <c r="B451" s="152" t="s">
        <v>470</v>
      </c>
      <c r="C451" s="45">
        <v>6100</v>
      </c>
      <c r="D451" s="160">
        <v>0</v>
      </c>
      <c r="E451" s="45">
        <f t="shared" ref="E451:E462" si="21">C451*(1-D451)</f>
        <v>6100</v>
      </c>
      <c r="F451" s="46">
        <v>1</v>
      </c>
      <c r="G451" s="47" t="s">
        <v>14</v>
      </c>
      <c r="H451" s="45">
        <f t="shared" ref="H451:H462" si="22">C451*F451</f>
        <v>6100</v>
      </c>
      <c r="I451" s="45">
        <f t="shared" ref="I451:I462" si="23">E451*F451</f>
        <v>6100</v>
      </c>
      <c r="J451" s="152" t="s">
        <v>468</v>
      </c>
      <c r="K451" s="48">
        <v>45861</v>
      </c>
    </row>
    <row r="452" spans="1:11" x14ac:dyDescent="0.35">
      <c r="A452" s="3">
        <v>451</v>
      </c>
      <c r="B452" s="96" t="s">
        <v>471</v>
      </c>
      <c r="C452" s="93" t="s">
        <v>472</v>
      </c>
      <c r="D452" s="168">
        <v>0</v>
      </c>
      <c r="E452" s="93" t="s">
        <v>472</v>
      </c>
      <c r="F452" s="94">
        <v>1</v>
      </c>
      <c r="G452" s="95" t="s">
        <v>14</v>
      </c>
      <c r="H452" s="93" t="s">
        <v>472</v>
      </c>
      <c r="I452" s="93" t="s">
        <v>472</v>
      </c>
      <c r="J452" s="96" t="s">
        <v>473</v>
      </c>
      <c r="K452" s="97">
        <v>45912</v>
      </c>
    </row>
    <row r="453" spans="1:11" x14ac:dyDescent="0.35">
      <c r="A453" s="3">
        <v>452</v>
      </c>
      <c r="B453" s="126" t="s">
        <v>474</v>
      </c>
      <c r="C453" s="123">
        <v>25</v>
      </c>
      <c r="D453" s="173">
        <v>0</v>
      </c>
      <c r="E453" s="123">
        <f t="shared" si="21"/>
        <v>25</v>
      </c>
      <c r="F453" s="124">
        <v>15</v>
      </c>
      <c r="G453" s="125" t="s">
        <v>14</v>
      </c>
      <c r="H453" s="123">
        <f t="shared" si="22"/>
        <v>375</v>
      </c>
      <c r="I453" s="123">
        <f t="shared" si="23"/>
        <v>375</v>
      </c>
      <c r="J453" s="126" t="s">
        <v>475</v>
      </c>
      <c r="K453" s="127">
        <v>45982</v>
      </c>
    </row>
    <row r="454" spans="1:11" ht="29" x14ac:dyDescent="0.35">
      <c r="A454" s="3">
        <v>453</v>
      </c>
      <c r="B454" s="74" t="s">
        <v>476</v>
      </c>
      <c r="C454" s="75" t="s">
        <v>477</v>
      </c>
      <c r="D454" s="165">
        <v>0</v>
      </c>
      <c r="E454" s="75" t="s">
        <v>477</v>
      </c>
      <c r="F454" s="76">
        <v>36</v>
      </c>
      <c r="G454" s="77" t="s">
        <v>14</v>
      </c>
      <c r="H454" s="75" t="s">
        <v>478</v>
      </c>
      <c r="I454" s="75" t="s">
        <v>478</v>
      </c>
      <c r="J454" s="78" t="s">
        <v>479</v>
      </c>
      <c r="K454" s="79">
        <v>45911</v>
      </c>
    </row>
    <row r="455" spans="1:11" ht="29" x14ac:dyDescent="0.35">
      <c r="A455" s="3">
        <v>454</v>
      </c>
      <c r="B455" s="139" t="s">
        <v>480</v>
      </c>
      <c r="C455" s="135" t="s">
        <v>481</v>
      </c>
      <c r="D455" s="175">
        <v>0</v>
      </c>
      <c r="E455" s="135" t="s">
        <v>481</v>
      </c>
      <c r="F455" s="136">
        <v>36</v>
      </c>
      <c r="G455" s="137" t="s">
        <v>14</v>
      </c>
      <c r="H455" s="135" t="s">
        <v>482</v>
      </c>
      <c r="I455" s="135" t="s">
        <v>482</v>
      </c>
      <c r="J455" s="134" t="s">
        <v>479</v>
      </c>
      <c r="K455" s="138">
        <v>46003</v>
      </c>
    </row>
    <row r="456" spans="1:11" x14ac:dyDescent="0.35">
      <c r="A456" s="3">
        <v>455</v>
      </c>
      <c r="B456" s="55" t="s">
        <v>483</v>
      </c>
      <c r="C456" s="56">
        <v>3679</v>
      </c>
      <c r="D456" s="162">
        <v>0.64</v>
      </c>
      <c r="E456" s="56">
        <f t="shared" si="21"/>
        <v>1324.44</v>
      </c>
      <c r="F456" s="57">
        <v>1</v>
      </c>
      <c r="G456" s="58" t="s">
        <v>14</v>
      </c>
      <c r="H456" s="56">
        <f t="shared" si="22"/>
        <v>3679</v>
      </c>
      <c r="I456" s="56">
        <f t="shared" si="23"/>
        <v>1324.44</v>
      </c>
      <c r="J456" s="55" t="s">
        <v>485</v>
      </c>
      <c r="K456" s="59">
        <v>45875</v>
      </c>
    </row>
    <row r="457" spans="1:11" x14ac:dyDescent="0.35">
      <c r="A457" s="3">
        <v>456</v>
      </c>
      <c r="B457" s="55" t="s">
        <v>484</v>
      </c>
      <c r="C457" s="56">
        <v>13992.0834</v>
      </c>
      <c r="D457" s="162">
        <v>0.6</v>
      </c>
      <c r="E457" s="56">
        <f t="shared" si="21"/>
        <v>5596.8333600000005</v>
      </c>
      <c r="F457" s="57">
        <v>1</v>
      </c>
      <c r="G457" s="58" t="s">
        <v>14</v>
      </c>
      <c r="H457" s="56">
        <f t="shared" si="22"/>
        <v>13992.0834</v>
      </c>
      <c r="I457" s="56">
        <f t="shared" si="23"/>
        <v>5596.8333600000005</v>
      </c>
      <c r="J457" s="55" t="s">
        <v>485</v>
      </c>
      <c r="K457" s="59">
        <v>45875</v>
      </c>
    </row>
    <row r="458" spans="1:11" x14ac:dyDescent="0.35">
      <c r="A458" s="3">
        <v>457</v>
      </c>
      <c r="B458" s="126" t="s">
        <v>486</v>
      </c>
      <c r="C458" s="123">
        <v>45.89</v>
      </c>
      <c r="D458" s="173">
        <v>0</v>
      </c>
      <c r="E458" s="123">
        <f t="shared" si="21"/>
        <v>45.89</v>
      </c>
      <c r="F458" s="124">
        <v>100</v>
      </c>
      <c r="G458" s="125" t="s">
        <v>13</v>
      </c>
      <c r="H458" s="123">
        <f t="shared" si="22"/>
        <v>4589</v>
      </c>
      <c r="I458" s="123">
        <f t="shared" si="23"/>
        <v>4589</v>
      </c>
      <c r="J458" s="126" t="s">
        <v>16</v>
      </c>
      <c r="K458" s="127">
        <v>45868</v>
      </c>
    </row>
    <row r="459" spans="1:11" x14ac:dyDescent="0.35">
      <c r="A459" s="3">
        <v>458</v>
      </c>
      <c r="B459" s="126" t="s">
        <v>487</v>
      </c>
      <c r="C459" s="123">
        <v>9.65</v>
      </c>
      <c r="D459" s="173">
        <v>0</v>
      </c>
      <c r="E459" s="123">
        <f t="shared" si="21"/>
        <v>9.65</v>
      </c>
      <c r="F459" s="124">
        <v>100</v>
      </c>
      <c r="G459" s="125" t="s">
        <v>13</v>
      </c>
      <c r="H459" s="123">
        <f t="shared" si="22"/>
        <v>965</v>
      </c>
      <c r="I459" s="123">
        <f t="shared" si="23"/>
        <v>965</v>
      </c>
      <c r="J459" s="126" t="s">
        <v>16</v>
      </c>
      <c r="K459" s="127">
        <v>45868</v>
      </c>
    </row>
    <row r="460" spans="1:11" x14ac:dyDescent="0.35">
      <c r="A460" s="3">
        <v>459</v>
      </c>
      <c r="B460" s="126" t="s">
        <v>488</v>
      </c>
      <c r="C460" s="123">
        <v>345</v>
      </c>
      <c r="D460" s="173">
        <v>0</v>
      </c>
      <c r="E460" s="123">
        <f t="shared" si="21"/>
        <v>345</v>
      </c>
      <c r="F460" s="124">
        <v>3</v>
      </c>
      <c r="G460" s="125" t="s">
        <v>14</v>
      </c>
      <c r="H460" s="123">
        <f t="shared" si="22"/>
        <v>1035</v>
      </c>
      <c r="I460" s="123">
        <f t="shared" si="23"/>
        <v>1035</v>
      </c>
      <c r="J460" s="126" t="s">
        <v>16</v>
      </c>
      <c r="K460" s="127">
        <v>45868</v>
      </c>
    </row>
    <row r="461" spans="1:11" x14ac:dyDescent="0.35">
      <c r="A461" s="3">
        <v>460</v>
      </c>
      <c r="B461" s="114" t="s">
        <v>489</v>
      </c>
      <c r="C461" s="111">
        <v>9.9499999999999993</v>
      </c>
      <c r="D461" s="171">
        <v>0</v>
      </c>
      <c r="E461" s="111">
        <f t="shared" si="21"/>
        <v>9.9499999999999993</v>
      </c>
      <c r="F461" s="112">
        <v>300</v>
      </c>
      <c r="G461" s="113" t="s">
        <v>13</v>
      </c>
      <c r="H461" s="111">
        <f t="shared" si="22"/>
        <v>2985</v>
      </c>
      <c r="I461" s="111">
        <f t="shared" si="23"/>
        <v>2985</v>
      </c>
      <c r="J461" s="114" t="s">
        <v>16</v>
      </c>
      <c r="K461" s="115">
        <v>45889</v>
      </c>
    </row>
    <row r="462" spans="1:11" x14ac:dyDescent="0.35">
      <c r="A462" s="3">
        <v>461</v>
      </c>
      <c r="B462" s="114" t="s">
        <v>490</v>
      </c>
      <c r="C462" s="111">
        <v>6.45</v>
      </c>
      <c r="D462" s="171">
        <v>0</v>
      </c>
      <c r="E462" s="111">
        <f t="shared" si="21"/>
        <v>6.45</v>
      </c>
      <c r="F462" s="112">
        <v>200</v>
      </c>
      <c r="G462" s="113" t="s">
        <v>13</v>
      </c>
      <c r="H462" s="111">
        <f t="shared" si="22"/>
        <v>1290</v>
      </c>
      <c r="I462" s="111">
        <f t="shared" si="23"/>
        <v>1290</v>
      </c>
      <c r="J462" s="114" t="s">
        <v>16</v>
      </c>
      <c r="K462" s="115">
        <v>45889</v>
      </c>
    </row>
    <row r="463" spans="1:11" x14ac:dyDescent="0.35">
      <c r="A463" s="3"/>
    </row>
    <row r="464" spans="1:11" x14ac:dyDescent="0.35">
      <c r="A464" s="3"/>
    </row>
    <row r="465" spans="1:1" x14ac:dyDescent="0.35">
      <c r="A465" s="3"/>
    </row>
    <row r="466" spans="1:1" x14ac:dyDescent="0.35">
      <c r="A466" s="3"/>
    </row>
    <row r="467" spans="1:1" x14ac:dyDescent="0.35">
      <c r="A467" s="3"/>
    </row>
    <row r="1048574" spans="7:11" x14ac:dyDescent="0.35">
      <c r="G1048574" s="3" t="s">
        <v>13</v>
      </c>
      <c r="K1048574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Emrullah GÜNAY</dc:creator>
  <cp:lastModifiedBy>Yunus Emre Sarkmaz</cp:lastModifiedBy>
  <cp:lastPrinted>2025-12-19T13:43:35Z</cp:lastPrinted>
  <dcterms:created xsi:type="dcterms:W3CDTF">2025-12-19T13:32:20Z</dcterms:created>
  <dcterms:modified xsi:type="dcterms:W3CDTF">2025-12-21T18:54:18Z</dcterms:modified>
</cp:coreProperties>
</file>